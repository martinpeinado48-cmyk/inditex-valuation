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073E0266-3E0B-464C-B35E-C8D61FDE7AA8}" xr6:coauthVersionLast="47" xr6:coauthVersionMax="47" xr10:uidLastSave="{00000000-0000-0000-0000-000000000000}"/>
  <bookViews>
    <workbookView xWindow="21300" yWindow="4500" windowWidth="7500" windowHeight="6000" xr2:uid="{00000000-000D-0000-FFFF-FFFF00000000}"/>
  </bookViews>
  <sheets>
    <sheet name="Resumen" sheetId="1" r:id="rId1"/>
    <sheet name="Hipótesis" sheetId="2" r:id="rId2"/>
    <sheet name="Histórico" sheetId="3" r:id="rId3"/>
    <sheet name="DCF" sheetId="4" r:id="rId4"/>
    <sheet name="Sensibilidad" sheetId="5" r:id="rId5"/>
    <sheet name="Comparab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6" l="1"/>
  <c r="D40" i="6"/>
  <c r="E37" i="6"/>
  <c r="C37" i="6"/>
  <c r="B37" i="6"/>
  <c r="A26" i="6"/>
  <c r="A25" i="6"/>
  <c r="A24" i="6"/>
  <c r="B20" i="6"/>
  <c r="B19" i="6"/>
  <c r="B17" i="6"/>
  <c r="H11" i="6"/>
  <c r="G11" i="6"/>
  <c r="F11" i="6"/>
  <c r="E11" i="6"/>
  <c r="D11" i="6"/>
  <c r="C11" i="6"/>
  <c r="B11" i="6"/>
  <c r="H10" i="6"/>
  <c r="G10" i="6"/>
  <c r="F10" i="6"/>
  <c r="E10" i="6"/>
  <c r="D10" i="6"/>
  <c r="D12" i="6" s="1"/>
  <c r="C10" i="6"/>
  <c r="C12" i="6" s="1"/>
  <c r="B10" i="6"/>
  <c r="B12" i="6" s="1"/>
  <c r="F19" i="5"/>
  <c r="E19" i="5"/>
  <c r="D19" i="5"/>
  <c r="C19" i="5"/>
  <c r="B19" i="5"/>
  <c r="F8" i="5"/>
  <c r="E8" i="5"/>
  <c r="D8" i="5"/>
  <c r="C8" i="5"/>
  <c r="B8" i="5"/>
  <c r="C49" i="4"/>
  <c r="C41" i="4"/>
  <c r="C37" i="4"/>
  <c r="C35" i="4"/>
  <c r="C34" i="4"/>
  <c r="C14" i="4"/>
  <c r="C12" i="4"/>
  <c r="C11" i="4"/>
  <c r="C10" i="4"/>
  <c r="C9" i="4"/>
  <c r="C8" i="4"/>
  <c r="C5" i="4"/>
  <c r="H47" i="3"/>
  <c r="G47" i="3"/>
  <c r="F47" i="3"/>
  <c r="E47" i="3"/>
  <c r="D47" i="3"/>
  <c r="C47" i="3"/>
  <c r="H46" i="3"/>
  <c r="C18" i="4" s="1"/>
  <c r="G46" i="3"/>
  <c r="F46" i="3"/>
  <c r="E46" i="3"/>
  <c r="D46" i="3"/>
  <c r="C46" i="3"/>
  <c r="H45" i="3"/>
  <c r="G45" i="3"/>
  <c r="F45" i="3"/>
  <c r="E45" i="3"/>
  <c r="D45" i="3"/>
  <c r="C45" i="3"/>
  <c r="H43" i="3"/>
  <c r="C37" i="2" s="1"/>
  <c r="G43" i="3"/>
  <c r="F43" i="3"/>
  <c r="E43" i="3"/>
  <c r="D43" i="3"/>
  <c r="C43" i="3"/>
  <c r="H42" i="3"/>
  <c r="C36" i="2" s="1"/>
  <c r="G42" i="3"/>
  <c r="F42" i="3"/>
  <c r="E42" i="3"/>
  <c r="D42" i="3"/>
  <c r="C42" i="3"/>
  <c r="H41" i="3"/>
  <c r="C35" i="2" s="1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C7" i="4" s="1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C6" i="4" s="1"/>
  <c r="G35" i="3"/>
  <c r="F35" i="3"/>
  <c r="E35" i="3"/>
  <c r="D35" i="3"/>
  <c r="H18" i="3"/>
  <c r="G18" i="3"/>
  <c r="G44" i="3" s="1"/>
  <c r="F18" i="3"/>
  <c r="F44" i="3" s="1"/>
  <c r="E18" i="3"/>
  <c r="E44" i="3" s="1"/>
  <c r="D18" i="3"/>
  <c r="D44" i="3" s="1"/>
  <c r="C18" i="3"/>
  <c r="C44" i="3" s="1"/>
  <c r="M59" i="2"/>
  <c r="L59" i="2"/>
  <c r="K59" i="2"/>
  <c r="J59" i="2"/>
  <c r="I59" i="2"/>
  <c r="H59" i="2"/>
  <c r="G59" i="2"/>
  <c r="F59" i="2"/>
  <c r="E59" i="2"/>
  <c r="D59" i="2"/>
  <c r="M53" i="2"/>
  <c r="M7" i="4" s="1"/>
  <c r="L53" i="2"/>
  <c r="L7" i="4" s="1"/>
  <c r="K53" i="2"/>
  <c r="K7" i="4" s="1"/>
  <c r="J53" i="2"/>
  <c r="J7" i="4" s="1"/>
  <c r="I53" i="2"/>
  <c r="I7" i="4" s="1"/>
  <c r="H53" i="2"/>
  <c r="H7" i="4" s="1"/>
  <c r="G53" i="2"/>
  <c r="G7" i="4" s="1"/>
  <c r="F53" i="2"/>
  <c r="F7" i="4" s="1"/>
  <c r="E53" i="2"/>
  <c r="E7" i="4" s="1"/>
  <c r="D53" i="2"/>
  <c r="D7" i="4" s="1"/>
  <c r="M47" i="2"/>
  <c r="M6" i="4" s="1"/>
  <c r="L47" i="2"/>
  <c r="L6" i="4" s="1"/>
  <c r="K47" i="2"/>
  <c r="K6" i="4" s="1"/>
  <c r="J47" i="2"/>
  <c r="J6" i="4" s="1"/>
  <c r="I47" i="2"/>
  <c r="I6" i="4" s="1"/>
  <c r="H47" i="2"/>
  <c r="H6" i="4" s="1"/>
  <c r="G47" i="2"/>
  <c r="G6" i="4" s="1"/>
  <c r="F47" i="2"/>
  <c r="F6" i="4" s="1"/>
  <c r="E47" i="2"/>
  <c r="E6" i="4" s="1"/>
  <c r="D47" i="2"/>
  <c r="D6" i="4" s="1"/>
  <c r="C41" i="2"/>
  <c r="B29" i="2"/>
  <c r="B18" i="2"/>
  <c r="B22" i="2" s="1"/>
  <c r="B12" i="2"/>
  <c r="B11" i="2"/>
  <c r="B8" i="2"/>
  <c r="C20" i="1"/>
  <c r="B11" i="1"/>
  <c r="B7" i="1"/>
  <c r="D37" i="6" l="1"/>
  <c r="B18" i="6"/>
  <c r="C25" i="6" s="1"/>
  <c r="C33" i="4"/>
  <c r="D5" i="4"/>
  <c r="A2" i="4"/>
  <c r="B5" i="1"/>
  <c r="B42" i="6"/>
  <c r="B16" i="6"/>
  <c r="C32" i="6"/>
  <c r="C33" i="6" s="1"/>
  <c r="C24" i="6"/>
  <c r="C26" i="6"/>
  <c r="H44" i="3"/>
  <c r="C38" i="2" s="1"/>
  <c r="C15" i="4"/>
  <c r="B6" i="1"/>
  <c r="A24" i="5"/>
  <c r="A25" i="5"/>
  <c r="A26" i="5"/>
  <c r="C39" i="4"/>
  <c r="C50" i="4"/>
  <c r="A9" i="5"/>
  <c r="A10" i="5"/>
  <c r="A11" i="5"/>
  <c r="A12" i="5"/>
  <c r="A13" i="5"/>
  <c r="A14" i="5"/>
  <c r="A15" i="5"/>
  <c r="A20" i="5"/>
  <c r="A21" i="5"/>
  <c r="A22" i="5"/>
  <c r="A23" i="5"/>
  <c r="D20" i="4"/>
  <c r="D22" i="4"/>
  <c r="D23" i="4" s="1"/>
  <c r="E22" i="4"/>
  <c r="F22" i="4" l="1"/>
  <c r="E23" i="4"/>
  <c r="E5" i="4"/>
  <c r="D8" i="4"/>
  <c r="D9" i="4"/>
  <c r="D10" i="4" s="1"/>
  <c r="D11" i="4"/>
  <c r="D12" i="4"/>
  <c r="D13" i="4" s="1"/>
  <c r="D14" i="4"/>
  <c r="D15" i="4"/>
  <c r="D16" i="4" s="1"/>
  <c r="B32" i="6"/>
  <c r="B33" i="6" s="1"/>
  <c r="B25" i="6"/>
  <c r="B24" i="6"/>
  <c r="B26" i="6"/>
  <c r="C28" i="6"/>
  <c r="E39" i="6" s="1"/>
  <c r="C29" i="6"/>
  <c r="C30" i="6"/>
  <c r="C39" i="6" s="1"/>
  <c r="C31" i="6"/>
  <c r="C27" i="6"/>
  <c r="B39" i="6" s="1"/>
  <c r="F23" i="4" l="1"/>
  <c r="G22" i="4"/>
  <c r="F5" i="4"/>
  <c r="E15" i="4"/>
  <c r="E16" i="4" s="1"/>
  <c r="E12" i="4"/>
  <c r="E8" i="4"/>
  <c r="E9" i="4"/>
  <c r="E11" i="4"/>
  <c r="E14" i="4"/>
  <c r="B27" i="6"/>
  <c r="B38" i="6" s="1"/>
  <c r="B29" i="6"/>
  <c r="B30" i="6"/>
  <c r="C38" i="6" s="1"/>
  <c r="B31" i="6"/>
  <c r="B28" i="6"/>
  <c r="E38" i="6" s="1"/>
  <c r="D17" i="4"/>
  <c r="D21" i="4" s="1"/>
  <c r="C48" i="4"/>
  <c r="D39" i="6"/>
  <c r="G23" i="4" l="1"/>
  <c r="H22" i="4"/>
  <c r="D38" i="6"/>
  <c r="G5" i="4"/>
  <c r="F8" i="4"/>
  <c r="F9" i="4"/>
  <c r="F11" i="4"/>
  <c r="F12" i="4"/>
  <c r="F14" i="4"/>
  <c r="F15" i="4"/>
  <c r="F16" i="4" s="1"/>
  <c r="E10" i="4"/>
  <c r="E13" i="4"/>
  <c r="D24" i="4"/>
  <c r="H23" i="4" l="1"/>
  <c r="I22" i="4"/>
  <c r="E17" i="4"/>
  <c r="E21" i="4" s="1"/>
  <c r="E24" i="4" s="1"/>
  <c r="H5" i="4"/>
  <c r="G8" i="4"/>
  <c r="G9" i="4"/>
  <c r="G11" i="4"/>
  <c r="G12" i="4"/>
  <c r="G14" i="4"/>
  <c r="G15" i="4"/>
  <c r="F10" i="4"/>
  <c r="F13" i="4"/>
  <c r="F17" i="4" s="1"/>
  <c r="F21" i="4" s="1"/>
  <c r="F24" i="4" s="1"/>
  <c r="H11" i="4"/>
  <c r="H12" i="4"/>
  <c r="H15" i="4"/>
  <c r="G10" i="4"/>
  <c r="G13" i="4" l="1"/>
  <c r="J22" i="4"/>
  <c r="I23" i="4"/>
  <c r="H9" i="4"/>
  <c r="H14" i="4"/>
  <c r="I5" i="4"/>
  <c r="J5" i="4" s="1"/>
  <c r="H8" i="4"/>
  <c r="G16" i="4"/>
  <c r="H16" i="4"/>
  <c r="J23" i="4" l="1"/>
  <c r="K22" i="4"/>
  <c r="G17" i="4"/>
  <c r="G21" i="4" s="1"/>
  <c r="I9" i="4"/>
  <c r="I8" i="4"/>
  <c r="I10" i="4" s="1"/>
  <c r="I11" i="4"/>
  <c r="I12" i="4"/>
  <c r="I13" i="4" s="1"/>
  <c r="I14" i="4"/>
  <c r="I15" i="4"/>
  <c r="I16" i="4" s="1"/>
  <c r="H13" i="4"/>
  <c r="H17" i="4" s="1"/>
  <c r="H21" i="4" s="1"/>
  <c r="H24" i="4" s="1"/>
  <c r="H10" i="4"/>
  <c r="K5" i="4"/>
  <c r="J9" i="4"/>
  <c r="J8" i="4"/>
  <c r="J11" i="4"/>
  <c r="J12" i="4"/>
  <c r="J14" i="4"/>
  <c r="J15" i="4"/>
  <c r="G24" i="4"/>
  <c r="K23" i="4" l="1"/>
  <c r="L22" i="4"/>
  <c r="J16" i="4"/>
  <c r="L5" i="4"/>
  <c r="K9" i="4"/>
  <c r="K8" i="4"/>
  <c r="K11" i="4"/>
  <c r="K12" i="4"/>
  <c r="K14" i="4"/>
  <c r="K15" i="4"/>
  <c r="J13" i="4"/>
  <c r="J10" i="4"/>
  <c r="I17" i="4"/>
  <c r="I21" i="4" s="1"/>
  <c r="M22" i="4" l="1"/>
  <c r="M23" i="4" s="1"/>
  <c r="C30" i="4" s="1"/>
  <c r="L23" i="4"/>
  <c r="J17" i="4"/>
  <c r="J21" i="4" s="1"/>
  <c r="J24" i="4" s="1"/>
  <c r="M5" i="4"/>
  <c r="L9" i="4"/>
  <c r="L8" i="4"/>
  <c r="L11" i="4"/>
  <c r="L12" i="4"/>
  <c r="L14" i="4"/>
  <c r="L15" i="4"/>
  <c r="L16" i="4" s="1"/>
  <c r="K13" i="4"/>
  <c r="K10" i="4"/>
  <c r="K16" i="4"/>
  <c r="I24" i="4"/>
  <c r="M9" i="4" l="1"/>
  <c r="M8" i="4"/>
  <c r="M11" i="4"/>
  <c r="M12" i="4"/>
  <c r="M14" i="4"/>
  <c r="M15" i="4"/>
  <c r="M16" i="4" s="1"/>
  <c r="L10" i="4"/>
  <c r="L13" i="4"/>
  <c r="K17" i="4"/>
  <c r="K21" i="4" s="1"/>
  <c r="M10" i="4" l="1"/>
  <c r="M13" i="4"/>
  <c r="K24" i="4"/>
  <c r="L17" i="4"/>
  <c r="L21" i="4" s="1"/>
  <c r="M17" i="4" l="1"/>
  <c r="L24" i="4"/>
  <c r="C28" i="4" l="1"/>
  <c r="C29" i="4" s="1"/>
  <c r="M21" i="4"/>
  <c r="C31" i="4" l="1"/>
  <c r="C47" i="4"/>
  <c r="E20" i="5"/>
  <c r="F9" i="5"/>
  <c r="C11" i="5"/>
  <c r="B21" i="5"/>
  <c r="C14" i="5"/>
  <c r="F12" i="5"/>
  <c r="C25" i="5"/>
  <c r="C24" i="5"/>
  <c r="C12" i="5"/>
  <c r="F10" i="5"/>
  <c r="E9" i="5"/>
  <c r="E22" i="5"/>
  <c r="B22" i="5"/>
  <c r="C15" i="5"/>
  <c r="E25" i="5"/>
  <c r="C10" i="5"/>
  <c r="F14" i="5"/>
  <c r="F11" i="5"/>
  <c r="B12" i="5"/>
  <c r="F22" i="5"/>
  <c r="D24" i="5"/>
  <c r="B13" i="5"/>
  <c r="B23" i="5"/>
  <c r="D11" i="5"/>
  <c r="B10" i="5"/>
  <c r="C9" i="5"/>
  <c r="F25" i="5"/>
  <c r="D25" i="5"/>
  <c r="F26" i="5"/>
  <c r="D22" i="5"/>
  <c r="C13" i="5"/>
  <c r="B9" i="5"/>
  <c r="D12" i="5"/>
  <c r="B11" i="5"/>
  <c r="D21" i="5"/>
  <c r="C20" i="5"/>
  <c r="D10" i="5"/>
  <c r="E13" i="5"/>
  <c r="E21" i="5"/>
  <c r="D20" i="5"/>
  <c r="B14" i="5"/>
  <c r="E14" i="5"/>
  <c r="D14" i="5"/>
  <c r="E24" i="5"/>
  <c r="E23" i="5"/>
  <c r="D23" i="5"/>
  <c r="B15" i="5"/>
  <c r="F21" i="5"/>
  <c r="D9" i="5"/>
  <c r="E26" i="5"/>
  <c r="F20" i="5"/>
  <c r="F13" i="5"/>
  <c r="E11" i="5"/>
  <c r="D26" i="5"/>
  <c r="B25" i="5"/>
  <c r="E15" i="5"/>
  <c r="C23" i="5"/>
  <c r="B26" i="5"/>
  <c r="B20" i="5"/>
  <c r="B24" i="5"/>
  <c r="C26" i="5"/>
  <c r="D13" i="5"/>
  <c r="F15" i="5"/>
  <c r="F24" i="5"/>
  <c r="F23" i="5"/>
  <c r="C22" i="5"/>
  <c r="C21" i="5"/>
  <c r="E10" i="5"/>
  <c r="D15" i="5"/>
  <c r="E12" i="5"/>
  <c r="M24" i="4"/>
  <c r="C27" i="4" s="1"/>
  <c r="C32" i="4" l="1"/>
  <c r="B8" i="1" l="1"/>
  <c r="C36" i="4"/>
  <c r="C46" i="4"/>
  <c r="C45" i="4"/>
  <c r="B13" i="1" s="1"/>
  <c r="C38" i="4" l="1"/>
  <c r="C40" i="4" s="1"/>
  <c r="B30" i="5" s="1"/>
  <c r="B9" i="1"/>
  <c r="B10" i="1" l="1"/>
  <c r="C42" i="4"/>
  <c r="B12" i="1" s="1"/>
</calcChain>
</file>

<file path=xl/sharedStrings.xml><?xml version="1.0" encoding="utf-8"?>
<sst xmlns="http://schemas.openxmlformats.org/spreadsheetml/2006/main" count="338" uniqueCount="265">
  <si>
    <t>Inditex · Valoración por descuento de flujos (DCF)</t>
  </si>
  <si>
    <t>Proyecto de finanzas de Martín Peinado Miraflores · Modelo con hipótesis propias, uso formativo; no es una recomendación de inversión.</t>
  </si>
  <si>
    <t>Resultado del escenario activo (se actualiza solo)</t>
  </si>
  <si>
    <t>Escenario activo</t>
  </si>
  <si>
    <t>WACC</t>
  </si>
  <si>
    <t>Crecimiento a perpetuidad (g)</t>
  </si>
  <si>
    <t>Valor de la empresa (M€)</t>
  </si>
  <si>
    <t>Valor del capital (M€)</t>
  </si>
  <si>
    <t>Valor por acción hoy (€)</t>
  </si>
  <si>
    <t>Precio de mercado (€)</t>
  </si>
  <si>
    <t>Potencial frente al precio</t>
  </si>
  <si>
    <t>Valor terminal / valor de la empresa</t>
  </si>
  <si>
    <t>Los tres escenarios (foto estática, calculada con Python y verificada contra este Excel)</t>
  </si>
  <si>
    <t>Escenario</t>
  </si>
  <si>
    <t>Valor por acción (€)</t>
  </si>
  <si>
    <t>Potencial vs precio</t>
  </si>
  <si>
    <t>Valor empresa (M€)</t>
  </si>
  <si>
    <t>VT / EV</t>
  </si>
  <si>
    <t>Bajo</t>
  </si>
  <si>
    <t>Base</t>
  </si>
  <si>
    <t>Alto</t>
  </si>
  <si>
    <t>Precio de mercado</t>
  </si>
  <si>
    <t>Para reproducir cada fila: cambia el selector de la hoja Hipótesis (celda B41). La foto no se actualiza sola.</t>
  </si>
  <si>
    <t>Cómo leer este libro</t>
  </si>
  <si>
    <t>Hipótesis: todas las entradas del modelo, con su fuente. Es la única hoja que hay que tocar.</t>
  </si>
  <si>
    <t>Histórico: cuentas de Inditex 2020-2025 y ratios calculados con fórmulas.</t>
  </si>
  <si>
    <t>DCF: proyección a 10 años del flujo de caja libre, valor terminal y valor por acción.</t>
  </si>
  <si>
    <t>Sensibilidad: cómo cambia el valor con el WACC y el crecimiento a perpetuidad.</t>
  </si>
  <si>
    <t>Comparables: qué valdría Inditex valorada como H&amp;M, Fast Retailing o Next, y gráfico con todos los métodos.</t>
  </si>
  <si>
    <t>Colores: azul = dato o hipótesis editable · negro = fórmula · verde = enlace a otra hoja · amarillo = decisión clave.</t>
  </si>
  <si>
    <t>Cómo está planteado (y qué no hace)</t>
  </si>
  <si>
    <t>Los pagos por arrendamiento (alquiler de tiendas) se restan del flujo de caja como un coste operativo; por eso no se restan después como deuda.</t>
  </si>
  <si>
    <t>Se valora a 31/07/2026 (último balance, 1S2026) y se actualiza hasta el 07/10/2026. El precio incluye el dividendo de 0,875 € que se paga el 02/11/2026.</t>
  </si>
  <si>
    <t>El 2026E se valora solo en su segunda mitad, tomando la mitad del flujo anual (ignora la estacionalidad).</t>
  </si>
  <si>
    <t>No incluye análisis de comparables ni de riesgos específicos (divisa, geopolítica). La prima de riesgo ponderada por ventas es una estimación propia.</t>
  </si>
  <si>
    <t>Con estas hipótesis, el precio de mercado equivale a un coste del capital de ≈7,5 % frente al 8,97 % del modelo: la diferencia con el consenso de analistas está sobre todo en la tasa de descuento.</t>
  </si>
  <si>
    <t>Monte Carlo (foto estática: 20.000 simulaciones con src/montecarlo.py)</t>
  </si>
  <si>
    <t>Mediana del valor por acción (€)</t>
  </si>
  <si>
    <t>Media (€)</t>
  </si>
  <si>
    <t>Percentil 5 (€): solo un 5 % de los casos vale menos</t>
  </si>
  <si>
    <t>Percentil 95 (€): solo un 5 % de los casos vale más</t>
  </si>
  <si>
    <t>Probabilidad de que el valor supere el precio de mercado</t>
  </si>
  <si>
    <t>Probabilidad de que el valor supere 50 €</t>
  </si>
  <si>
    <t>Las hipótesis varían dentro de rangos razonables (beta ±0,10, prima de riesgo ±0,5 pp, crecimiento y margen ±1,2 pp, etc.). Ver docs/Guia_del_modelo.md. No se actualiza sola.</t>
  </si>
  <si>
    <t>Calidad contable (foto estática, src/calidad_contable.py): herramientas de cribado, no una prueba</t>
  </si>
  <si>
    <t>Ejercicio</t>
  </si>
  <si>
    <t>Altman Z'' (&gt;2,6 segura)</t>
  </si>
  <si>
    <t>Beneish M (alerta &gt; −1,78)</t>
  </si>
  <si>
    <t>Beneish M ajustado NIIF 16</t>
  </si>
  <si>
    <t>2020</t>
  </si>
  <si>
    <t>2021</t>
  </si>
  <si>
    <t>2022</t>
  </si>
  <si>
    <t>2023</t>
  </si>
  <si>
    <t>2024</t>
  </si>
  <si>
    <t>2025</t>
  </si>
  <si>
    <t>Beneish necesita el año anterior, por eso empieza en 2021. El ajuste NIIF 16 resta los pagos de alquiler al flujo de explotación. No se actualiza sola.</t>
  </si>
  <si>
    <t>Hipótesis del modelo</t>
  </si>
  <si>
    <t>Azul = dato/hipótesis que puedes editar · Amarillo = decisión clave · Negro = fórmula · Verde = enlace a otra hoja. M€ salvo indicación.</t>
  </si>
  <si>
    <t>1. Fechas y mercado</t>
  </si>
  <si>
    <t>Fecha de valoración (precio de mercado)</t>
  </si>
  <si>
    <t>Fecha de la cotización usada</t>
  </si>
  <si>
    <t>Fecha del balance de partida</t>
  </si>
  <si>
    <t>Último balance publicado: 1S2026 (31/07/2026)</t>
  </si>
  <si>
    <t>Meses del ejercicio 2026 que quedan tras el balance</t>
  </si>
  <si>
    <t>El ejercicio 2026 acaba el 31/01/2027</t>
  </si>
  <si>
    <t>Fracción del año 2026E que se valora</t>
  </si>
  <si>
    <t>Simplificación: se valora la mitad del flujo anual de 2026E (ignora la estacionalidad)</t>
  </si>
  <si>
    <t>Precio de la acción (€)</t>
  </si>
  <si>
    <t>es.investing.com, 07/10/2026. Cotiza con derecho a dividendo hasta el 29/10/2026</t>
  </si>
  <si>
    <t>Número de acciones (millones)</t>
  </si>
  <si>
    <t>Resultados 1S2026 de Inditex</t>
  </si>
  <si>
    <t>Capitalización bursátil (M€)</t>
  </si>
  <si>
    <t>Días entre el balance y la fecha de valoración</t>
  </si>
  <si>
    <t>2. Tasa de descuento y crecimiento a perpetuidad</t>
  </si>
  <si>
    <t>Tipo libre de riesgo (rf)</t>
  </si>
  <si>
    <t>DECISIÓN DE MARTÍN (07/10/2026): bono alemán a 10 años, cierre 30/09/2026 (datosmacro). El bono español está en 4,11 %</t>
  </si>
  <si>
    <t>Beta</t>
  </si>
  <si>
    <t>DECISIÓN DE MARTÍN. Regresión propia semanal a 5 años: 0,95-1,08 según índice (src/beta.py). Investing.com 0,90; sector (Damodaran) 0,79</t>
  </si>
  <si>
    <t>Prima de riesgo de mercado (ERP)</t>
  </si>
  <si>
    <t>DECISIÓN DE MARTÍN. Mercado maduro 4,17 % (Damodaran, jul-2026) + riesgo-país ponderado por ventas de Inditex (estimación propia). España: 5,78 %</t>
  </si>
  <si>
    <t>Coste de los recursos propios (Ke = rf + beta × ERP)</t>
  </si>
  <si>
    <t>CAPM</t>
  </si>
  <si>
    <t>Coste de la deuda antes de impuestos</t>
  </si>
  <si>
    <t>Irrelevante con peso de deuda 0 %</t>
  </si>
  <si>
    <t>Peso de la deuda D/(D+E)</t>
  </si>
  <si>
    <t>Inditex no tiene deuda financiera relevante (caja neta)</t>
  </si>
  <si>
    <t>Tipo impositivo</t>
  </si>
  <si>
    <t>Efectivo 2021-25 ≈ 22 %; 1S2026: 22,5 %</t>
  </si>
  <si>
    <t>Los arrendamientos se tratan como coste operativo, no como deuda</t>
  </si>
  <si>
    <t>DECISIÓN DE MARTÍN. Entre la inflación objetivo del BCE (2 %) y el crecimiento nominal esperado; menor que rf</t>
  </si>
  <si>
    <t>3. Balance de partida (31/07/2026)</t>
  </si>
  <si>
    <t>Efectivo y equivalentes</t>
  </si>
  <si>
    <t>Resultados 1S2026</t>
  </si>
  <si>
    <t>Inversiones financieras temporales</t>
  </si>
  <si>
    <t>Deuda financiera</t>
  </si>
  <si>
    <t>Resultados 1S2026 (solo corriente)</t>
  </si>
  <si>
    <t>Posición financiera neta</t>
  </si>
  <si>
    <t>Coincide con los 10.398 M€ que publica Inditex</t>
  </si>
  <si>
    <t>Otros activos no operativos</t>
  </si>
  <si>
    <t>0 por prudencia: no se suman las inversiones por puesta en equivalencia (≈500 M€)</t>
  </si>
  <si>
    <t>Intereses minoritarios</t>
  </si>
  <si>
    <t>Inditex no tiene minoritarios relevantes</t>
  </si>
  <si>
    <t>Pasivos por arrendamiento (informativo, no se resta)</t>
  </si>
  <si>
    <t>4.549 + 1.648. No se restan porque el alquiler ya está dentro del flujo de caja (FCFF)</t>
  </si>
  <si>
    <t>4. Parámetros operativos (iguales en todos los escenarios)</t>
  </si>
  <si>
    <t>2025A</t>
  </si>
  <si>
    <t>Amortizaciones / ventas</t>
  </si>
  <si>
    <t>Se mantiene el nivel de 2025</t>
  </si>
  <si>
    <t>Pagos por arrendamiento / ventas</t>
  </si>
  <si>
    <t>Interés de arrendamientos / ventas</t>
  </si>
  <si>
    <t>Solo se usa para calcular el impuesto</t>
  </si>
  <si>
    <t>Circulante operativo / ventas</t>
  </si>
  <si>
    <t>Media 2020-25 ≈ −8,6 %; al ser negativo, crecer libera caja</t>
  </si>
  <si>
    <t>5. Escenarios (cambia el selector)</t>
  </si>
  <si>
    <t>Escenario activo (1 = Bajo, 2 = Base, 3 = Alto)</t>
  </si>
  <si>
    <t>Las tres filas de cada bloque son hipótesis tuyas; la fila «Activo» es la que usa el modelo</t>
  </si>
  <si>
    <t>Crecimiento de ventas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</si>
  <si>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</si>
  <si>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</si>
  <si>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</si>
  <si>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</si>
  <si>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</si>
  <si>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</si>
  <si>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</si>
  <si>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</si>
  <si>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</si>
  <si>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</si>
  <si>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Bajo: la mitad del ritmo actual · Base: 7,5 % en 2026E (1S2026: +7,6 % reportado) con convergencia lineal al 3 % · Alto: mantiene ≈9 % (ritmo a tipo constante)</t>
  </si>
  <si>
    <t xml:space="preserve">   Bajo</t>
  </si>
  <si>
    <t xml:space="preserve">   Base</t>
  </si>
  <si>
    <t xml:space="preserve">   Alto</t>
  </si>
  <si>
    <t xml:space="preserve">   Activo</t>
  </si>
  <si>
    <t>Margen EBIT</t>
  </si>
  <si>
    <t>Base: se mantiene en 20 % (2025: 20,1 %; 1S2026: 19,5 %) · Bajo: cae a 18 % · Alto: sube a 22 %</t>
  </si>
  <si>
    <t>Capex / ventas</t>
  </si>
  <si>
    <t>2026E: guía de Inditex ≈2.300 M€ ordinarios + 200 M€ extraordinarios ≈ 5,8 % · después se normaliza a 4,5-5,5 % según escenario</t>
  </si>
  <si>
    <t>Histórico de Inditex (2020-2025)</t>
  </si>
  <si>
    <t>Fuente: cuentas anuales consolidadas de Inditex (inditex.com), extraídas con src/extract_statements.py. M€. El ejercicio N termina el 31/01/N+1.</t>
  </si>
  <si>
    <t>Ventas</t>
  </si>
  <si>
    <t>Coste de la mercancía</t>
  </si>
  <si>
    <t>Margen bruto</t>
  </si>
  <si>
    <t>EBITDA</t>
  </si>
  <si>
    <t>Amortizaciones y depreciaciones</t>
  </si>
  <si>
    <t>EBIT</t>
  </si>
  <si>
    <t>Resultado antes de impuestos (BAI)</t>
  </si>
  <si>
    <t>Impuesto sobre beneficios</t>
  </si>
  <si>
    <t>Resultado neto</t>
  </si>
  <si>
    <t>Balance (cierre de ejercicio)</t>
  </si>
  <si>
    <t>Existencias</t>
  </si>
  <si>
    <t>Deudores</t>
  </si>
  <si>
    <t>Acreedores</t>
  </si>
  <si>
    <t>Circulante operativo (existencias + deudores − acreedores)</t>
  </si>
  <si>
    <t>Deuda financiera (corriente + no corriente)</t>
  </si>
  <si>
    <t>Pasivo por arrendamiento a largo plazo</t>
  </si>
  <si>
    <t>Pasivo por arrendamiento a corto plazo</t>
  </si>
  <si>
    <t>Patrimonio neto</t>
  </si>
  <si>
    <t>Total activo</t>
  </si>
  <si>
    <t>Flujos de caja</t>
  </si>
  <si>
    <t>Flujo de explotación (CFO)</t>
  </si>
  <si>
    <t>Capex en inmovilizado material</t>
  </si>
  <si>
    <t>Capex en inmovilizado intangible</t>
  </si>
  <si>
    <t>Pagos por arrendamiento (renta fija)</t>
  </si>
  <si>
    <t>Gasto financiero por arrendamiento</t>
  </si>
  <si>
    <t>Dividendos pagados</t>
  </si>
  <si>
    <t>Ratios (fórmulas)</t>
  </si>
  <si>
    <t>Margen EBITDA</t>
  </si>
  <si>
    <t>Margen neto</t>
  </si>
  <si>
    <t>Tipo impositivo efectivo</t>
  </si>
  <si>
    <t>FCF tras arrendamientos (CFO − capex − arrendamientos)</t>
  </si>
  <si>
    <t>Posición financiera neta (caja + inversiones − deuda)</t>
  </si>
  <si>
    <t>DCF · flujo de caja libre de la empresa (FCFF)</t>
  </si>
  <si>
    <t>M€</t>
  </si>
  <si>
    <t xml:space="preserve">   Crecimiento</t>
  </si>
  <si>
    <t xml:space="preserve">   Margen EBIT</t>
  </si>
  <si>
    <t>Amortizaciones</t>
  </si>
  <si>
    <t>(−) Pagos por arrendamiento</t>
  </si>
  <si>
    <t xml:space="preserve">   Memo: interés de arrendamientos</t>
  </si>
  <si>
    <t>(−) Impuestos sobre EBIT − interés de arrend.</t>
  </si>
  <si>
    <t>(−) Capex</t>
  </si>
  <si>
    <t xml:space="preserve">   Memo: saldo de circulante operativo</t>
  </si>
  <si>
    <t>(−) Aumento / (+) disminución del circulante</t>
  </si>
  <si>
    <t>FCFF (flujo de caja libre de la empresa)</t>
  </si>
  <si>
    <t xml:space="preserve">   Memo: FCF 2025A tras arrendamientos (reportado, no comparable 1:1)</t>
  </si>
  <si>
    <t>Fracción del año que se valora</t>
  </si>
  <si>
    <t>FCFF a valorar</t>
  </si>
  <si>
    <t>Tiempo de descuento (años desde 31/07/2026, mitad de periodo)</t>
  </si>
  <si>
    <t>Factor de descuento</t>
  </si>
  <si>
    <t>Valor actual del FCFF</t>
  </si>
  <si>
    <t>Valoración</t>
  </si>
  <si>
    <t>Suma del valor actual de los FCFF (2026E-2035E)</t>
  </si>
  <si>
    <t>FCFF del último año explícito (2035E)</t>
  </si>
  <si>
    <t>Valor terminal (Gordon: FCFF × (1+g) / (WACC − g))</t>
  </si>
  <si>
    <t>Factor de descuento del valor terminal</t>
  </si>
  <si>
    <t>Valor actual del valor terminal</t>
  </si>
  <si>
    <t>Valor de la empresa (EV)</t>
  </si>
  <si>
    <t>(+) Posición financiera neta</t>
  </si>
  <si>
    <t>(+) Otros activos no operativos</t>
  </si>
  <si>
    <t>(−) Intereses minoritarios</t>
  </si>
  <si>
    <t>Valor del capital (equity) a 31/07/2026</t>
  </si>
  <si>
    <t>Acciones (millones)</t>
  </si>
  <si>
    <t>Valor por acción a 31/07/2026</t>
  </si>
  <si>
    <t>Factor para actualizar hasta la fecha de valoración</t>
  </si>
  <si>
    <t>VALOR POR ACCIÓN HOY</t>
  </si>
  <si>
    <t>Potencial frente al precio de mercado</t>
  </si>
  <si>
    <t>Controles de sensatez</t>
  </si>
  <si>
    <t>EV / EBITDA tras arrendamientos 2026E (implícito)</t>
  </si>
  <si>
    <t>Valor terminal / EBITDA tras arrendamientos 2035E (múltiplo de salida implícito)</t>
  </si>
  <si>
    <t>EV de mercado / EBITDA tras arrendamientos 2026E</t>
  </si>
  <si>
    <t>g menor que rf</t>
  </si>
  <si>
    <t>WACC mayor que g</t>
  </si>
  <si>
    <t>Sensibilidad del valor por acción</t>
  </si>
  <si>
    <t>Cada celda recalcula la valoración con otro WACC y otro g, manteniendo el escenario activo. Verde = por encima del precio de mercado; rojo = por debajo.</t>
  </si>
  <si>
    <t>Paso del WACC</t>
  </si>
  <si>
    <t>Paso de g</t>
  </si>
  <si>
    <t>WACC ↓  ·  g →</t>
  </si>
  <si>
    <t>Control: la celda central de la primera tabla debe coincidir con el valor del DCF</t>
  </si>
  <si>
    <t>Diferencia (debe ser 0)</t>
  </si>
  <si>
    <t>Valoración por comparables</t>
  </si>
  <si>
    <t>¿Qué valdría Inditex si el mercado la valorase como a H&amp;M, Fast Retailing o Next? Datos de una sola fuente (Yahoo Finance) y la misma fecha.</t>
  </si>
  <si>
    <t>1. Múltiplos de mercado (Yahoo Finance, 07/10/2026)</t>
  </si>
  <si>
    <t>Empresa</t>
  </si>
  <si>
    <t>P/E trailing</t>
  </si>
  <si>
    <t>P/E forward</t>
  </si>
  <si>
    <t>EV/EBITDA</t>
  </si>
  <si>
    <t>Margen operativo (%)</t>
  </si>
  <si>
    <t>ROE (%)</t>
  </si>
  <si>
    <t>Crec. ventas trim. (%)</t>
  </si>
  <si>
    <t>Beta Yahoo 5a</t>
  </si>
  <si>
    <t>Inditex</t>
  </si>
  <si>
    <t>H&amp;M</t>
  </si>
  <si>
    <t>Fast Retailing</t>
  </si>
  <si>
    <t>Next</t>
  </si>
  <si>
    <t>Mediana de los comparables</t>
  </si>
  <si>
    <t>Media de los comparables</t>
  </si>
  <si>
    <t>Inditex frente a la mediana (prima + / descuento −)</t>
  </si>
  <si>
    <t>2. Datos de Inditex para aplicar los múltiplos</t>
  </si>
  <si>
    <t>EBITDA de los últimos 12 meses (M€)</t>
  </si>
  <si>
    <t>Ejercicio 2025 (11.267) − 1S2025 (5.114) + 1S2026 (5.513). Resultados oficiales de Inditex</t>
  </si>
  <si>
    <t>BPA forward de Inditex (€)</t>
  </si>
  <si>
    <t>Precio ÷ P/E forward de Yahoo: el beneficio por acción que está implícito en ese múltiplo</t>
  </si>
  <si>
    <t>Pasivos por arrendamiento (M€)</t>
  </si>
  <si>
    <t>Se restan porque el EV de Yahoo incluye los alquileres como deuda</t>
  </si>
  <si>
    <t>Posición financiera neta (M€)</t>
  </si>
  <si>
    <t>Caja + inversiones temporales − deuda financiera (31/07/2026)</t>
  </si>
  <si>
    <t>3. Valor por acción de Inditex si se valorase como cada comparable (€)</t>
  </si>
  <si>
    <t>Por P/E forward</t>
  </si>
  <si>
    <t>Por EV/EBITDA</t>
  </si>
  <si>
    <t>Mínimo</t>
  </si>
  <si>
    <t>Mediana</t>
  </si>
  <si>
    <t>Media</t>
  </si>
  <si>
    <t>Máximo</t>
  </si>
  <si>
    <t>Media sin Fast Retailing (crecimiento ≈22 %)</t>
  </si>
  <si>
    <t>Control: el múltiplo propio de Inditex aplicado a Inditex</t>
  </si>
  <si>
    <t xml:space="preserve">   Diferencia frente al precio de mercado</t>
  </si>
  <si>
    <t>La diferencia en EV/EBITDA viene de cómo Yahoo define el EBITDA de Inditex (≈11.900 M€ frente a los 11.666 M€ de aquí)</t>
  </si>
  <si>
    <t>4. Campo de fútbol: rangos de valor por acción (€)</t>
  </si>
  <si>
    <t>Método</t>
  </si>
  <si>
    <t>Amplitud</t>
  </si>
  <si>
    <t>Valor central</t>
  </si>
  <si>
    <t>DCF (escenarios Bajo - Alto)</t>
  </si>
  <si>
    <t>Comparables: P/E forward</t>
  </si>
  <si>
    <t>Comparables: EV/EBITDA</t>
  </si>
  <si>
    <t>Precio objetivo de analistas</t>
  </si>
  <si>
    <t>Rango de cotización 52 semanas</t>
  </si>
  <si>
    <t>Analistas: 24 analistas, Bolsamanía 31/08/2026. 52 semanas: Yahoo Finance 07/10/2026. DCF: foto estática de la hoja Resumen.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</si>
</sst>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5" formatCode="0.0%;\(0.0%\);&quot;-&quot;"/>
    <numFmt numFmtId="166" formatCode="0.00%;\(0.00%\);&quot;-&quot;"/>
    <numFmt numFmtId="168" formatCode="#,##0.00\ &quot;€&quot;;\(#,##0.00\ &quot;€&quot;\);&quot;-&quot;"/>
    <numFmt numFmtId="169" formatCode="#,##0.0"/>
    <numFmt numFmtId="170" formatCode="0.0000"/>
    <numFmt numFmtId="171" formatCode="0.0&quot;x&quot;"/>
    <numFmt numFmtId="172" formatCode="0.000000"/>
    <numFmt numFmtId="173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sz val="14"/>
      <color rgb="FF000000"/>
      <name val="Arial"/>
    </font>
    <font>
      <i/>
      <sz val="10"/>
      <color rgb="FF595959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00FF"/>
      <name val="Arial"/>
    </font>
    <font>
      <b/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/>
    <xf numFmtId="0" fontId="6" fillId="0" borderId="0" xfId="0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" fillId="0" borderId="0" xfId="0" applyFont="1"/>
    <xf numFmtId="168" fontId="8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166" fontId="5" fillId="0" borderId="0" xfId="0" applyNumberFormat="1" applyFont="1"/>
    <xf numFmtId="168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168" fontId="6" fillId="0" borderId="0" xfId="0" applyNumberFormat="1" applyFont="1"/>
    <xf numFmtId="165" fontId="7" fillId="0" borderId="0" xfId="0" applyNumberFormat="1" applyFont="1"/>
    <xf numFmtId="2" fontId="5" fillId="0" borderId="0" xfId="0" applyNumberFormat="1" applyFont="1"/>
    <xf numFmtId="14" fontId="5" fillId="0" borderId="0" xfId="0" applyNumberFormat="1" applyFont="1"/>
    <xf numFmtId="1" fontId="5" fillId="0" borderId="0" xfId="0" applyNumberFormat="1" applyFont="1"/>
    <xf numFmtId="2" fontId="4" fillId="0" borderId="0" xfId="0" applyNumberFormat="1" applyFont="1"/>
    <xf numFmtId="169" fontId="5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166" fontId="5" fillId="3" borderId="0" xfId="0" applyNumberFormat="1" applyFont="1" applyFill="1"/>
    <xf numFmtId="2" fontId="5" fillId="3" borderId="0" xfId="0" applyNumberFormat="1" applyFont="1" applyFill="1"/>
    <xf numFmtId="166" fontId="1" fillId="0" borderId="0" xfId="0" applyNumberFormat="1" applyFont="1"/>
    <xf numFmtId="164" fontId="1" fillId="0" borderId="0" xfId="0" applyNumberFormat="1" applyFont="1"/>
    <xf numFmtId="0" fontId="1" fillId="2" borderId="0" xfId="0" applyFont="1" applyFill="1" applyAlignment="1">
      <alignment horizontal="right" vertical="center"/>
    </xf>
    <xf numFmtId="165" fontId="6" fillId="0" borderId="0" xfId="0" applyNumberFormat="1" applyFont="1"/>
    <xf numFmtId="166" fontId="6" fillId="0" borderId="0" xfId="0" applyNumberFormat="1" applyFont="1"/>
    <xf numFmtId="1" fontId="7" fillId="3" borderId="0" xfId="0" applyNumberFormat="1" applyFont="1" applyFill="1" applyAlignment="1">
      <alignment horizontal="center" vertical="center"/>
    </xf>
    <xf numFmtId="0" fontId="0" fillId="0" borderId="1" xfId="0" applyBorder="1"/>
    <xf numFmtId="165" fontId="1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4" fontId="8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  <xf numFmtId="170" fontId="4" fillId="0" borderId="0" xfId="0" applyNumberFormat="1" applyFont="1"/>
    <xf numFmtId="169" fontId="6" fillId="0" borderId="0" xfId="0" applyNumberFormat="1" applyFont="1"/>
    <xf numFmtId="168" fontId="4" fillId="0" borderId="0" xfId="0" applyNumberFormat="1" applyFont="1"/>
    <xf numFmtId="168" fontId="1" fillId="3" borderId="0" xfId="0" applyNumberFormat="1" applyFont="1" applyFill="1"/>
    <xf numFmtId="171" fontId="4" fillId="0" borderId="0" xfId="0" applyNumberFormat="1" applyFont="1"/>
    <xf numFmtId="0" fontId="4" fillId="0" borderId="0" xfId="0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72" fontId="4" fillId="0" borderId="0" xfId="0" applyNumberFormat="1" applyFont="1"/>
    <xf numFmtId="171" fontId="5" fillId="0" borderId="0" xfId="0" applyNumberFormat="1" applyFont="1"/>
    <xf numFmtId="173" fontId="5" fillId="0" borderId="0" xfId="0" applyNumberFormat="1" applyFont="1"/>
    <xf numFmtId="171" fontId="1" fillId="0" borderId="0" xfId="0" applyNumberFormat="1" applyFont="1"/>
    <xf numFmtId="173" fontId="4" fillId="0" borderId="0" xfId="0" applyNumberFormat="1" applyFont="1"/>
    <xf numFmtId="0" fontId="1" fillId="0" borderId="0" xfId="0" applyFont="1" applyAlignment="1">
      <alignment horizontal="right" vertical="center"/>
    </xf>
    <xf numFmtId="168" fontId="1" fillId="0" borderId="0" xfId="0" applyNumberFormat="1" applyFont="1"/>
  </cellXfs>
  <cellStyles count="1">
    <cellStyle name="Normal" xfId="0" builtinId="0"/>
  </cellStyles>
  <dxfs count="4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Valor por acción: escenarios frente al precio de mercado (€)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Resumen!$C$16</c:f>
              <c:strCache>
                <c:ptCount val="1"/>
                <c:pt idx="0">
                  <c:v>Valor por acción (€)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Resumen!$A$17:$A$20</c:f>
              <c:strCache>
                <c:ptCount val="4"/>
                <c:pt idx="0">
                  <c:v>Bajo</c:v>
                </c:pt>
                <c:pt idx="1">
                  <c:v>Base</c:v>
                </c:pt>
                <c:pt idx="2">
                  <c:v>Alto</c:v>
                </c:pt>
                <c:pt idx="3">
                  <c:v>Precio de mercado</c:v>
                </c:pt>
              </c:strCache>
            </c:strRef>
          </c:cat>
          <c:val>
            <c:numRef>
              <c:f>Resumen!$C$17:$C$20</c:f>
              <c:numCache>
                <c:formatCode>#,##0.00\ "€";\(#,##0.00\ "€"\);"-"</c:formatCode>
                <c:ptCount val="4"/>
                <c:pt idx="0">
                  <c:v>32.726327759966303</c:v>
                </c:pt>
                <c:pt idx="1">
                  <c:v>42.870653043199837</c:v>
                </c:pt>
                <c:pt idx="2">
                  <c:v>51.747124937111963</c:v>
                </c:pt>
                <c:pt idx="3">
                  <c:v>54.38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41-40D6-A330-1A9FD4211B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70"/>
          <c:min val="0"/>
        </c:scaling>
        <c:delete val="0"/>
        <c:axPos val="l"/>
        <c:majorGridlines/>
        <c:numFmt formatCode="#,##0.00\ &quot;€&quot;;\(#,##0.00\ &quot;€&quot;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FCFF proyectado (M€)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DCF!$D$4:$M$4</c:f>
              <c:strCache>
                <c:ptCount val="10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  <c:pt idx="5">
                  <c:v>2031E</c:v>
                </c:pt>
                <c:pt idx="6">
                  <c:v>2032E</c:v>
                </c:pt>
                <c:pt idx="7">
                  <c:v>2033E</c:v>
                </c:pt>
                <c:pt idx="8">
                  <c:v>2034E</c:v>
                </c:pt>
                <c:pt idx="9">
                  <c:v>2035E</c:v>
                </c:pt>
              </c:strCache>
            </c:strRef>
          </c:cat>
          <c:val>
            <c:numRef>
              <c:f>DCF!$D$17:$M$17</c:f>
              <c:numCache>
                <c:formatCode>#,##0;\(#,##0\);"-"</c:formatCode>
                <c:ptCount val="10"/>
                <c:pt idx="0">
                  <c:v>5536.3389250000018</c:v>
                </c:pt>
                <c:pt idx="1">
                  <c:v>6496.7967817499994</c:v>
                </c:pt>
                <c:pt idx="2">
                  <c:v>6998.5438031437498</c:v>
                </c:pt>
                <c:pt idx="3">
                  <c:v>7502.4968470971771</c:v>
                </c:pt>
                <c:pt idx="4">
                  <c:v>8003.6019346638823</c:v>
                </c:pt>
                <c:pt idx="5">
                  <c:v>8381.7822928676833</c:v>
                </c:pt>
                <c:pt idx="6">
                  <c:v>8735.7527718982165</c:v>
                </c:pt>
                <c:pt idx="7">
                  <c:v>9060.8126724182039</c:v>
                </c:pt>
                <c:pt idx="8">
                  <c:v>9352.4742461308888</c:v>
                </c:pt>
                <c:pt idx="9">
                  <c:v>9606.5629288999844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94-4AB5-9C0B-FCE775F4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Rangos de valor por acción (€)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Comparables!$B$36</c:f>
              <c:strCache>
                <c:ptCount val="1"/>
                <c:pt idx="0">
                  <c:v>Mínimo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Comparables!$A$37:$A$41</c:f>
              <c:strCache>
                <c:ptCount val="5"/>
                <c:pt idx="0">
                  <c:v>DCF (escenarios Bajo - Alto)</c:v>
                </c:pt>
                <c:pt idx="1">
                  <c:v>Comparables: P/E forward</c:v>
                </c:pt>
                <c:pt idx="2">
                  <c:v>Comparables: EV/EBITDA</c:v>
                </c:pt>
                <c:pt idx="3">
                  <c:v>Precio objetivo de analistas</c:v>
                </c:pt>
                <c:pt idx="4">
                  <c:v>Rango de cotización 52 semanas</c:v>
                </c:pt>
              </c:strCache>
            </c:strRef>
          </c:cat>
          <c:val>
            <c:numRef>
              <c:f>Comparables!$B$37:$B$41</c:f>
              <c:numCache>
                <c:formatCode>#,##0.00\ "€";\(#,##0.00\ "€"\);"-"</c:formatCode>
                <c:ptCount val="5"/>
                <c:pt idx="0">
                  <c:v>32.726327759966303</c:v>
                </c:pt>
                <c:pt idx="1">
                  <c:v>36.67282988225741</c:v>
                </c:pt>
                <c:pt idx="2">
                  <c:v>30.251891397192207</c:v>
                </c:pt>
                <c:pt idx="3">
                  <c:v>41.5</c:v>
                </c:pt>
                <c:pt idx="4">
                  <c:v>46.07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E-4827-A5EA-60A986040520}"/>
            </c:ext>
          </c:extLst>
        </c:ser>
        <c:ser>
          <c:idx val="1"/>
          <c:order val="1"/>
          <c:tx>
            <c:strRef>
              <c:f>Comparables!$D$36</c:f>
              <c:strCache>
                <c:ptCount val="1"/>
                <c:pt idx="0">
                  <c:v>Amplitud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Comparables!$A$37:$A$41</c:f>
              <c:strCache>
                <c:ptCount val="5"/>
                <c:pt idx="0">
                  <c:v>DCF (escenarios Bajo - Alto)</c:v>
                </c:pt>
                <c:pt idx="1">
                  <c:v>Comparables: P/E forward</c:v>
                </c:pt>
                <c:pt idx="2">
                  <c:v>Comparables: EV/EBITDA</c:v>
                </c:pt>
                <c:pt idx="3">
                  <c:v>Precio objetivo de analistas</c:v>
                </c:pt>
                <c:pt idx="4">
                  <c:v>Rango de cotización 52 semanas</c:v>
                </c:pt>
              </c:strCache>
            </c:strRef>
          </c:cat>
          <c:val>
            <c:numRef>
              <c:f>Comparables!$D$37:$D$41</c:f>
              <c:numCache>
                <c:formatCode>#,##0.00\ "€";\(#,##0.00\ "€"\);"-"</c:formatCode>
                <c:ptCount val="5"/>
                <c:pt idx="0">
                  <c:v>19.02079717714566</c:v>
                </c:pt>
                <c:pt idx="1">
                  <c:v>42.744490458790089</c:v>
                </c:pt>
                <c:pt idx="2">
                  <c:v>46.650199044052371</c:v>
                </c:pt>
                <c:pt idx="3">
                  <c:v>23.5</c:v>
                </c:pt>
                <c:pt idx="4">
                  <c:v>13.350000000000001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FE-4827-A5EA-60A986040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90"/>
          <c:min val="20"/>
        </c:scaling>
        <c:delete val="0"/>
        <c:axPos val="t"/>
        <c:majorGridlines/>
        <c:numFmt formatCode="#,##0.00\ &quot;€&quot;;\(#,##0.00\ &quot;€&quot;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25</xdr:row>
      <xdr:rowOff>0</xdr:rowOff>
    </xdr:from>
    <xdr:ext cx="64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64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/>
  </sheetViews>
  <sheetFormatPr baseColWidth="10" defaultColWidth="9.140625" defaultRowHeight="15" x14ac:dyDescent="0.25"/>
  <cols>
    <col min="1" max="1" width="40" customWidth="1"/>
    <col min="2" max="6" width="18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x14ac:dyDescent="0.25">
      <c r="A4" s="3" t="s">
        <v>2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3</v>
      </c>
      <c r="B5" s="6" t="str">
        <f>Hipótesis!C41</f>
        <v>Base</v>
      </c>
    </row>
    <row r="6" spans="1:8" x14ac:dyDescent="0.25">
      <c r="A6" s="5" t="s">
        <v>4</v>
      </c>
      <c r="B6" s="7">
        <f>Hipótesis!B22</f>
        <v>8.9700000000000002E-2</v>
      </c>
    </row>
    <row r="7" spans="1:8" x14ac:dyDescent="0.25">
      <c r="A7" s="5" t="s">
        <v>5</v>
      </c>
      <c r="B7" s="7">
        <f>Hipótesis!B23</f>
        <v>2.5000000000000001E-2</v>
      </c>
    </row>
    <row r="8" spans="1:8" x14ac:dyDescent="0.25">
      <c r="A8" s="5" t="s">
        <v>6</v>
      </c>
      <c r="B8" s="8">
        <f>DCF!C32</f>
        <v>121062.80167428011</v>
      </c>
    </row>
    <row r="9" spans="1:8" x14ac:dyDescent="0.25">
      <c r="A9" s="5" t="s">
        <v>7</v>
      </c>
      <c r="B9" s="8">
        <f>DCF!C36</f>
        <v>131460.80167428011</v>
      </c>
    </row>
    <row r="10" spans="1:8" x14ac:dyDescent="0.25">
      <c r="A10" s="9" t="s">
        <v>8</v>
      </c>
      <c r="B10" s="10">
        <f>DCF!C40</f>
        <v>42.870653043199823</v>
      </c>
    </row>
    <row r="11" spans="1:8" x14ac:dyDescent="0.25">
      <c r="A11" s="5" t="s">
        <v>9</v>
      </c>
      <c r="B11" s="11">
        <f>Hipótesis!B9</f>
        <v>54.38</v>
      </c>
    </row>
    <row r="12" spans="1:8" x14ac:dyDescent="0.25">
      <c r="A12" s="9" t="s">
        <v>10</v>
      </c>
      <c r="B12" s="12">
        <f>DCF!C42</f>
        <v>-0.21164668916513751</v>
      </c>
    </row>
    <row r="13" spans="1:8" x14ac:dyDescent="0.25">
      <c r="A13" s="5" t="s">
        <v>11</v>
      </c>
      <c r="B13" s="13">
        <f>DCF!C45</f>
        <v>0.58024891676747037</v>
      </c>
    </row>
    <row r="15" spans="1:8" x14ac:dyDescent="0.25">
      <c r="A15" s="3" t="s">
        <v>12</v>
      </c>
      <c r="B15" s="4"/>
      <c r="C15" s="4"/>
      <c r="D15" s="4"/>
      <c r="E15" s="4"/>
      <c r="F15" s="4"/>
      <c r="G15" s="4"/>
      <c r="H15" s="4"/>
    </row>
    <row r="16" spans="1:8" x14ac:dyDescent="0.25">
      <c r="A16" s="14" t="s">
        <v>13</v>
      </c>
      <c r="B16" s="15" t="s">
        <v>4</v>
      </c>
      <c r="C16" s="15" t="s">
        <v>14</v>
      </c>
      <c r="D16" s="15" t="s">
        <v>15</v>
      </c>
      <c r="E16" s="15" t="s">
        <v>16</v>
      </c>
      <c r="F16" s="15" t="s">
        <v>17</v>
      </c>
    </row>
    <row r="17" spans="1:8" x14ac:dyDescent="0.25">
      <c r="A17" s="5" t="s">
        <v>18</v>
      </c>
      <c r="B17" s="16">
        <v>8.9700000000000002E-2</v>
      </c>
      <c r="C17" s="17">
        <v>32.726327759966303</v>
      </c>
      <c r="D17" s="18">
        <v>-0.39819183964754867</v>
      </c>
      <c r="E17" s="19">
        <v>89955.714669220339</v>
      </c>
      <c r="F17" s="18">
        <v>0.55656302918338874</v>
      </c>
    </row>
    <row r="18" spans="1:8" x14ac:dyDescent="0.25">
      <c r="A18" s="5" t="s">
        <v>19</v>
      </c>
      <c r="B18" s="16">
        <v>8.9700000000000002E-2</v>
      </c>
      <c r="C18" s="17">
        <v>42.870653043199837</v>
      </c>
      <c r="D18" s="18">
        <v>-0.21164668916513721</v>
      </c>
      <c r="E18" s="19">
        <v>121062.8016742802</v>
      </c>
      <c r="F18" s="18">
        <v>0.58024891676747048</v>
      </c>
    </row>
    <row r="19" spans="1:8" x14ac:dyDescent="0.25">
      <c r="A19" s="5" t="s">
        <v>20</v>
      </c>
      <c r="B19" s="16">
        <v>8.9700000000000002E-2</v>
      </c>
      <c r="C19" s="17">
        <v>51.747124937111963</v>
      </c>
      <c r="D19" s="18">
        <v>-4.841623874380363E-2</v>
      </c>
      <c r="E19" s="19">
        <v>148282.0770615022</v>
      </c>
      <c r="F19" s="18">
        <v>0.59284911304855914</v>
      </c>
    </row>
    <row r="20" spans="1:8" x14ac:dyDescent="0.25">
      <c r="A20" s="5" t="s">
        <v>21</v>
      </c>
      <c r="C20" s="20">
        <f>Hipótesis!B9</f>
        <v>54.38</v>
      </c>
    </row>
    <row r="21" spans="1:8" x14ac:dyDescent="0.25">
      <c r="A21" s="2" t="s">
        <v>22</v>
      </c>
    </row>
    <row r="23" spans="1:8" x14ac:dyDescent="0.25">
      <c r="A23" s="3" t="s">
        <v>23</v>
      </c>
      <c r="B23" s="4"/>
      <c r="C23" s="4"/>
      <c r="D23" s="4"/>
      <c r="E23" s="4"/>
      <c r="F23" s="4"/>
      <c r="G23" s="4"/>
      <c r="H23" s="4"/>
    </row>
    <row r="24" spans="1:8" x14ac:dyDescent="0.25">
      <c r="A24" s="5" t="s">
        <v>24</v>
      </c>
    </row>
    <row r="25" spans="1:8" x14ac:dyDescent="0.25">
      <c r="A25" s="5" t="s">
        <v>25</v>
      </c>
    </row>
    <row r="26" spans="1:8" x14ac:dyDescent="0.25">
      <c r="A26" s="5" t="s">
        <v>26</v>
      </c>
    </row>
    <row r="27" spans="1:8" x14ac:dyDescent="0.25">
      <c r="A27" s="5" t="s">
        <v>27</v>
      </c>
    </row>
    <row r="28" spans="1:8" x14ac:dyDescent="0.25">
      <c r="A28" s="5" t="s">
        <v>28</v>
      </c>
    </row>
    <row r="29" spans="1:8" x14ac:dyDescent="0.25">
      <c r="A29" s="5" t="s">
        <v>29</v>
      </c>
    </row>
    <row r="30" spans="1:8" x14ac:dyDescent="0.25">
      <c r="A30" s="3" t="s">
        <v>30</v>
      </c>
      <c r="B30" s="4"/>
      <c r="C30" s="4"/>
      <c r="D30" s="4"/>
      <c r="E30" s="4"/>
      <c r="F30" s="4"/>
      <c r="G30" s="4"/>
      <c r="H30" s="4"/>
    </row>
    <row r="31" spans="1:8" x14ac:dyDescent="0.25">
      <c r="A31" s="5" t="s">
        <v>31</v>
      </c>
    </row>
    <row r="32" spans="1:8" x14ac:dyDescent="0.25">
      <c r="A32" s="5" t="s">
        <v>32</v>
      </c>
    </row>
    <row r="33" spans="1:8" x14ac:dyDescent="0.25">
      <c r="A33" s="5" t="s">
        <v>33</v>
      </c>
    </row>
    <row r="34" spans="1:8" x14ac:dyDescent="0.25">
      <c r="A34" s="5" t="s">
        <v>34</v>
      </c>
    </row>
    <row r="35" spans="1:8" x14ac:dyDescent="0.25">
      <c r="A35" s="5" t="s">
        <v>35</v>
      </c>
    </row>
    <row r="38" spans="1:8" x14ac:dyDescent="0.25">
      <c r="A38" s="3" t="s">
        <v>36</v>
      </c>
      <c r="B38" s="4"/>
      <c r="C38" s="4"/>
      <c r="D38" s="4"/>
      <c r="E38" s="4"/>
      <c r="F38" s="4"/>
      <c r="G38" s="4"/>
      <c r="H38" s="4"/>
    </row>
    <row r="39" spans="1:8" x14ac:dyDescent="0.25">
      <c r="A39" s="5" t="s">
        <v>37</v>
      </c>
      <c r="B39" s="17">
        <v>42.985505258334157</v>
      </c>
    </row>
    <row r="40" spans="1:8" x14ac:dyDescent="0.25">
      <c r="A40" s="5" t="s">
        <v>38</v>
      </c>
      <c r="B40" s="17">
        <v>43.762493688357807</v>
      </c>
    </row>
    <row r="41" spans="1:8" x14ac:dyDescent="0.25">
      <c r="A41" s="5" t="s">
        <v>39</v>
      </c>
      <c r="B41" s="17">
        <v>32.870176594123031</v>
      </c>
    </row>
    <row r="42" spans="1:8" x14ac:dyDescent="0.25">
      <c r="A42" s="5" t="s">
        <v>40</v>
      </c>
      <c r="B42" s="17">
        <v>57.320644352483939</v>
      </c>
    </row>
    <row r="43" spans="1:8" x14ac:dyDescent="0.25">
      <c r="A43" s="9" t="s">
        <v>41</v>
      </c>
      <c r="B43" s="21">
        <v>8.9249999999999996E-2</v>
      </c>
    </row>
    <row r="44" spans="1:8" x14ac:dyDescent="0.25">
      <c r="A44" s="5" t="s">
        <v>42</v>
      </c>
      <c r="B44" s="18">
        <v>0.191</v>
      </c>
    </row>
    <row r="45" spans="1:8" x14ac:dyDescent="0.25">
      <c r="A45" s="2" t="s">
        <v>43</v>
      </c>
    </row>
    <row r="47" spans="1:8" x14ac:dyDescent="0.25">
      <c r="A47" s="3" t="s">
        <v>44</v>
      </c>
      <c r="B47" s="4"/>
      <c r="C47" s="4"/>
      <c r="D47" s="4"/>
      <c r="E47" s="4"/>
      <c r="F47" s="4"/>
      <c r="G47" s="4"/>
      <c r="H47" s="4"/>
    </row>
    <row r="48" spans="1:8" x14ac:dyDescent="0.25">
      <c r="A48" s="14" t="s">
        <v>45</v>
      </c>
      <c r="B48" s="15" t="s">
        <v>46</v>
      </c>
      <c r="C48" s="15" t="s">
        <v>47</v>
      </c>
      <c r="D48" s="15" t="s">
        <v>48</v>
      </c>
    </row>
    <row r="49" spans="1:4" x14ac:dyDescent="0.25">
      <c r="A49" s="5" t="s">
        <v>49</v>
      </c>
      <c r="B49" s="22">
        <v>4.6319539229350104</v>
      </c>
    </row>
    <row r="50" spans="1:4" x14ac:dyDescent="0.25">
      <c r="A50" s="5" t="s">
        <v>50</v>
      </c>
      <c r="B50" s="22">
        <v>5.25328057370269</v>
      </c>
      <c r="C50" s="22">
        <v>-2.8809250781850548</v>
      </c>
      <c r="D50" s="22">
        <v>-2.6112905299038318</v>
      </c>
    </row>
    <row r="51" spans="1:4" x14ac:dyDescent="0.25">
      <c r="A51" s="5" t="s">
        <v>51</v>
      </c>
      <c r="B51" s="22">
        <v>5.8304793950806353</v>
      </c>
      <c r="C51" s="22">
        <v>-2.810023873842638</v>
      </c>
      <c r="D51" s="22">
        <v>-2.557058560164887</v>
      </c>
    </row>
    <row r="52" spans="1:4" x14ac:dyDescent="0.25">
      <c r="A52" s="5" t="s">
        <v>52</v>
      </c>
      <c r="B52" s="22">
        <v>6.0022028019171101</v>
      </c>
      <c r="C52" s="22">
        <v>-2.7364120997485211</v>
      </c>
      <c r="D52" s="22">
        <v>-2.4887045390336899</v>
      </c>
    </row>
    <row r="53" spans="1:4" x14ac:dyDescent="0.25">
      <c r="A53" s="5" t="s">
        <v>53</v>
      </c>
      <c r="B53" s="22">
        <v>5.7856607735830341</v>
      </c>
      <c r="C53" s="22">
        <v>-2.945182565209</v>
      </c>
      <c r="D53" s="22">
        <v>-2.7022961793128202</v>
      </c>
    </row>
    <row r="54" spans="1:4" x14ac:dyDescent="0.25">
      <c r="A54" s="5" t="s">
        <v>54</v>
      </c>
      <c r="B54" s="22">
        <v>5.7422267592075</v>
      </c>
      <c r="C54" s="22">
        <v>-2.791607125564143</v>
      </c>
      <c r="D54" s="22">
        <v>-2.55081678940611</v>
      </c>
    </row>
    <row r="55" spans="1:4" x14ac:dyDescent="0.25">
      <c r="A55" s="2" t="s">
        <v>55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6" customWidth="1"/>
    <col min="2" max="2" width="12" customWidth="1"/>
    <col min="3" max="13" width="10" customWidth="1"/>
  </cols>
  <sheetData>
    <row r="1" spans="1:14" ht="18" x14ac:dyDescent="0.25">
      <c r="A1" s="1" t="s">
        <v>56</v>
      </c>
    </row>
    <row r="2" spans="1:14" x14ac:dyDescent="0.25">
      <c r="A2" s="2" t="s">
        <v>57</v>
      </c>
    </row>
    <row r="4" spans="1:14" x14ac:dyDescent="0.25">
      <c r="A4" s="3" t="s">
        <v>58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59</v>
      </c>
      <c r="B5" s="23">
        <v>46302</v>
      </c>
      <c r="D5" s="2" t="s">
        <v>60</v>
      </c>
    </row>
    <row r="6" spans="1:14" x14ac:dyDescent="0.25">
      <c r="A6" s="5" t="s">
        <v>61</v>
      </c>
      <c r="B6" s="23">
        <v>46234</v>
      </c>
      <c r="D6" s="2" t="s">
        <v>62</v>
      </c>
    </row>
    <row r="7" spans="1:14" x14ac:dyDescent="0.25">
      <c r="A7" s="5" t="s">
        <v>63</v>
      </c>
      <c r="B7" s="24">
        <v>6</v>
      </c>
      <c r="D7" s="2" t="s">
        <v>64</v>
      </c>
    </row>
    <row r="8" spans="1:14" x14ac:dyDescent="0.25">
      <c r="A8" s="5" t="s">
        <v>65</v>
      </c>
      <c r="B8" s="25">
        <f>B7/12</f>
        <v>0.5</v>
      </c>
      <c r="D8" s="2" t="s">
        <v>66</v>
      </c>
    </row>
    <row r="9" spans="1:14" x14ac:dyDescent="0.25">
      <c r="A9" s="5" t="s">
        <v>67</v>
      </c>
      <c r="B9" s="17">
        <v>54.38</v>
      </c>
      <c r="D9" s="2" t="s">
        <v>68</v>
      </c>
    </row>
    <row r="10" spans="1:14" x14ac:dyDescent="0.25">
      <c r="A10" s="5" t="s">
        <v>69</v>
      </c>
      <c r="B10" s="26">
        <v>3115.9215389999999</v>
      </c>
      <c r="D10" s="2" t="s">
        <v>70</v>
      </c>
    </row>
    <row r="11" spans="1:14" x14ac:dyDescent="0.25">
      <c r="A11" s="5" t="s">
        <v>71</v>
      </c>
      <c r="B11" s="27">
        <f>B9*B10</f>
        <v>169443.81329081999</v>
      </c>
    </row>
    <row r="12" spans="1:14" x14ac:dyDescent="0.25">
      <c r="A12" s="5" t="s">
        <v>72</v>
      </c>
      <c r="B12" s="28">
        <f>B5-B6</f>
        <v>68</v>
      </c>
    </row>
    <row r="14" spans="1:14" x14ac:dyDescent="0.25">
      <c r="A14" s="3" t="s">
        <v>73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5" t="s">
        <v>74</v>
      </c>
      <c r="B15" s="29">
        <v>3.5700000000000003E-2</v>
      </c>
      <c r="D15" s="2" t="s">
        <v>75</v>
      </c>
    </row>
    <row r="16" spans="1:14" x14ac:dyDescent="0.25">
      <c r="A16" s="5" t="s">
        <v>76</v>
      </c>
      <c r="B16" s="30">
        <v>1</v>
      </c>
      <c r="D16" s="2" t="s">
        <v>77</v>
      </c>
    </row>
    <row r="17" spans="1:14" x14ac:dyDescent="0.25">
      <c r="A17" s="5" t="s">
        <v>78</v>
      </c>
      <c r="B17" s="29">
        <v>5.3999999999999999E-2</v>
      </c>
      <c r="D17" s="2" t="s">
        <v>79</v>
      </c>
    </row>
    <row r="18" spans="1:14" x14ac:dyDescent="0.25">
      <c r="A18" s="9" t="s">
        <v>80</v>
      </c>
      <c r="B18" s="31">
        <f>B15+B16*B17</f>
        <v>8.9700000000000002E-2</v>
      </c>
      <c r="D18" s="2" t="s">
        <v>81</v>
      </c>
    </row>
    <row r="19" spans="1:14" x14ac:dyDescent="0.25">
      <c r="A19" s="5" t="s">
        <v>82</v>
      </c>
      <c r="B19" s="16">
        <v>4.4999999999999998E-2</v>
      </c>
      <c r="D19" s="2" t="s">
        <v>83</v>
      </c>
    </row>
    <row r="20" spans="1:14" x14ac:dyDescent="0.25">
      <c r="A20" s="5" t="s">
        <v>84</v>
      </c>
      <c r="B20" s="18">
        <v>0</v>
      </c>
      <c r="D20" s="2" t="s">
        <v>85</v>
      </c>
    </row>
    <row r="21" spans="1:14" x14ac:dyDescent="0.25">
      <c r="A21" s="5" t="s">
        <v>86</v>
      </c>
      <c r="B21" s="18">
        <v>0.22500000000000001</v>
      </c>
      <c r="D21" s="2" t="s">
        <v>87</v>
      </c>
    </row>
    <row r="22" spans="1:14" x14ac:dyDescent="0.25">
      <c r="A22" s="9" t="s">
        <v>4</v>
      </c>
      <c r="B22" s="31">
        <f>B18*(1-B20)+B19*(1-B21)*B20</f>
        <v>8.9700000000000002E-2</v>
      </c>
      <c r="D22" s="2" t="s">
        <v>88</v>
      </c>
    </row>
    <row r="23" spans="1:14" x14ac:dyDescent="0.25">
      <c r="A23" s="5" t="s">
        <v>5</v>
      </c>
      <c r="B23" s="29">
        <v>2.5000000000000001E-2</v>
      </c>
      <c r="D23" s="2" t="s">
        <v>89</v>
      </c>
    </row>
    <row r="25" spans="1:14" x14ac:dyDescent="0.25">
      <c r="A25" s="3" t="s">
        <v>90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5" t="s">
        <v>91</v>
      </c>
      <c r="B26" s="19">
        <v>4361</v>
      </c>
      <c r="D26" s="2" t="s">
        <v>92</v>
      </c>
    </row>
    <row r="27" spans="1:14" x14ac:dyDescent="0.25">
      <c r="A27" s="5" t="s">
        <v>93</v>
      </c>
      <c r="B27" s="19">
        <v>6038</v>
      </c>
      <c r="D27" s="2" t="s">
        <v>92</v>
      </c>
    </row>
    <row r="28" spans="1:14" x14ac:dyDescent="0.25">
      <c r="A28" s="5" t="s">
        <v>94</v>
      </c>
      <c r="B28" s="19">
        <v>1</v>
      </c>
      <c r="D28" s="2" t="s">
        <v>95</v>
      </c>
    </row>
    <row r="29" spans="1:14" x14ac:dyDescent="0.25">
      <c r="A29" s="9" t="s">
        <v>96</v>
      </c>
      <c r="B29" s="32">
        <f>B26+B27-B28</f>
        <v>10398</v>
      </c>
      <c r="D29" s="2" t="s">
        <v>97</v>
      </c>
    </row>
    <row r="30" spans="1:14" x14ac:dyDescent="0.25">
      <c r="A30" s="5" t="s">
        <v>98</v>
      </c>
      <c r="B30" s="19">
        <v>0</v>
      </c>
      <c r="D30" s="2" t="s">
        <v>99</v>
      </c>
    </row>
    <row r="31" spans="1:14" x14ac:dyDescent="0.25">
      <c r="A31" s="5" t="s">
        <v>100</v>
      </c>
      <c r="B31" s="19">
        <v>0</v>
      </c>
      <c r="D31" s="2" t="s">
        <v>101</v>
      </c>
    </row>
    <row r="32" spans="1:14" x14ac:dyDescent="0.25">
      <c r="A32" s="5" t="s">
        <v>102</v>
      </c>
      <c r="B32" s="19">
        <v>6197</v>
      </c>
      <c r="D32" s="2" t="s">
        <v>103</v>
      </c>
    </row>
    <row r="34" spans="1:14" x14ac:dyDescent="0.25">
      <c r="A34" s="3" t="s">
        <v>104</v>
      </c>
      <c r="B34" s="4"/>
      <c r="C34" s="33" t="s">
        <v>105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5" t="s">
        <v>106</v>
      </c>
      <c r="B35" s="18">
        <v>8.2000000000000003E-2</v>
      </c>
      <c r="C35" s="34">
        <f>Histórico!H41</f>
        <v>8.2028898254063815E-2</v>
      </c>
      <c r="D35" s="2" t="s">
        <v>107</v>
      </c>
    </row>
    <row r="36" spans="1:14" x14ac:dyDescent="0.25">
      <c r="A36" s="5" t="s">
        <v>108</v>
      </c>
      <c r="B36" s="18">
        <v>4.5999999999999999E-2</v>
      </c>
      <c r="C36" s="34">
        <f>Histórico!H42</f>
        <v>4.6006421834236401E-2</v>
      </c>
      <c r="D36" s="2" t="s">
        <v>107</v>
      </c>
    </row>
    <row r="37" spans="1:14" x14ac:dyDescent="0.25">
      <c r="A37" s="5" t="s">
        <v>109</v>
      </c>
      <c r="B37" s="16">
        <v>5.0000000000000001E-3</v>
      </c>
      <c r="C37" s="35">
        <f>Histórico!H43</f>
        <v>5.3933373469797312E-3</v>
      </c>
      <c r="D37" s="2" t="s">
        <v>110</v>
      </c>
    </row>
    <row r="38" spans="1:14" x14ac:dyDescent="0.25">
      <c r="A38" s="5" t="s">
        <v>111</v>
      </c>
      <c r="B38" s="18">
        <v>-8.5000000000000006E-2</v>
      </c>
      <c r="C38" s="34">
        <f>Histórico!H44</f>
        <v>-9.667870760585992E-2</v>
      </c>
      <c r="D38" s="2" t="s">
        <v>112</v>
      </c>
    </row>
    <row r="40" spans="1:14" x14ac:dyDescent="0.25">
      <c r="A40" s="3" t="s">
        <v>113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5">
      <c r="A41" s="9" t="s">
        <v>114</v>
      </c>
      <c r="B41" s="36">
        <v>2</v>
      </c>
      <c r="C41" s="9" t="str">
        <f>CHOOSE(B41,"Bajo","Base","Alto")</f>
        <v>Base</v>
      </c>
      <c r="D41" s="2" t="s">
        <v>115</v>
      </c>
    </row>
    <row r="43" spans="1:14" x14ac:dyDescent="0.25">
      <c r="A43" s="14" t="s">
        <v>116</v>
      </c>
      <c r="B43" s="37"/>
      <c r="C43" s="15"/>
      <c r="D43" s="15" t="s">
        <v>117</v>
      </c>
      <c r="E43" s="15" t="s">
        <v>118</v>
      </c>
      <c r="F43" s="15" t="s">
        <v>119</v>
      </c>
      <c r="G43" s="15" t="s">
        <v>120</v>
      </c>
      <c r="H43" s="15" t="s">
        <v>121</v>
      </c>
      <c r="I43" s="15" t="s">
        <v>122</v>
      </c>
      <c r="J43" s="15" t="s">
        <v>123</v>
      </c>
      <c r="K43" s="15" t="s">
        <v>124</v>
      </c>
      <c r="L43" s="15" t="s">
        <v>125</v>
      </c>
      <c r="M43" s="15" t="s">
        <v>126</v>
      </c>
      <c r="N43" s="2" t="s">
        <v>127</v>
      </c>
    </row>
    <row r="44" spans="1:14" x14ac:dyDescent="0.25">
      <c r="A44" s="5" t="s">
        <v>128</v>
      </c>
      <c r="D44" s="18">
        <v>0.05</v>
      </c>
      <c r="E44" s="18">
        <v>4.4999999999999998E-2</v>
      </c>
      <c r="F44" s="18">
        <v>0.04</v>
      </c>
      <c r="G44" s="18">
        <v>3.5000000000000003E-2</v>
      </c>
      <c r="H44" s="18">
        <v>0.03</v>
      </c>
      <c r="I44" s="18">
        <v>0.03</v>
      </c>
      <c r="J44" s="18">
        <v>2.8000000000000001E-2</v>
      </c>
      <c r="K44" s="18">
        <v>2.5999999999999999E-2</v>
      </c>
      <c r="L44" s="18">
        <v>2.5000000000000001E-2</v>
      </c>
      <c r="M44" s="18">
        <v>2.5000000000000001E-2</v>
      </c>
    </row>
    <row r="45" spans="1:14" x14ac:dyDescent="0.25">
      <c r="A45" s="5" t="s">
        <v>129</v>
      </c>
      <c r="D45" s="18">
        <v>7.4999999999999997E-2</v>
      </c>
      <c r="E45" s="18">
        <v>7.0000000000000007E-2</v>
      </c>
      <c r="F45" s="18">
        <v>6.5000000000000002E-2</v>
      </c>
      <c r="G45" s="18">
        <v>0.06</v>
      </c>
      <c r="H45" s="18">
        <v>5.5E-2</v>
      </c>
      <c r="I45" s="18">
        <v>0.05</v>
      </c>
      <c r="J45" s="18">
        <v>4.4999999999999998E-2</v>
      </c>
      <c r="K45" s="18">
        <v>0.04</v>
      </c>
      <c r="L45" s="18">
        <v>3.5000000000000003E-2</v>
      </c>
      <c r="M45" s="18">
        <v>0.03</v>
      </c>
    </row>
    <row r="46" spans="1:14" x14ac:dyDescent="0.25">
      <c r="A46" s="5" t="s">
        <v>130</v>
      </c>
      <c r="D46" s="18">
        <v>0.09</v>
      </c>
      <c r="E46" s="18">
        <v>8.5000000000000006E-2</v>
      </c>
      <c r="F46" s="18">
        <v>0.08</v>
      </c>
      <c r="G46" s="18">
        <v>7.0000000000000007E-2</v>
      </c>
      <c r="H46" s="18">
        <v>6.5000000000000002E-2</v>
      </c>
      <c r="I46" s="18">
        <v>0.06</v>
      </c>
      <c r="J46" s="18">
        <v>0.05</v>
      </c>
      <c r="K46" s="18">
        <v>4.4999999999999998E-2</v>
      </c>
      <c r="L46" s="18">
        <v>0.04</v>
      </c>
      <c r="M46" s="18">
        <v>3.5000000000000003E-2</v>
      </c>
    </row>
    <row r="47" spans="1:14" x14ac:dyDescent="0.25">
      <c r="A47" s="9" t="s">
        <v>131</v>
      </c>
      <c r="D47" s="38">
        <f t="shared" ref="D47:M47" si="0">CHOOSE($B$41,D44,D45,D46)</f>
        <v>7.4999999999999997E-2</v>
      </c>
      <c r="E47" s="38">
        <f t="shared" si="0"/>
        <v>7.0000000000000007E-2</v>
      </c>
      <c r="F47" s="38">
        <f t="shared" si="0"/>
        <v>6.5000000000000002E-2</v>
      </c>
      <c r="G47" s="38">
        <f t="shared" si="0"/>
        <v>0.06</v>
      </c>
      <c r="H47" s="38">
        <f t="shared" si="0"/>
        <v>5.5E-2</v>
      </c>
      <c r="I47" s="38">
        <f t="shared" si="0"/>
        <v>0.05</v>
      </c>
      <c r="J47" s="38">
        <f t="shared" si="0"/>
        <v>4.4999999999999998E-2</v>
      </c>
      <c r="K47" s="38">
        <f t="shared" si="0"/>
        <v>0.04</v>
      </c>
      <c r="L47" s="38">
        <f t="shared" si="0"/>
        <v>3.5000000000000003E-2</v>
      </c>
      <c r="M47" s="38">
        <f t="shared" si="0"/>
        <v>0.03</v>
      </c>
    </row>
    <row r="49" spans="1:14" x14ac:dyDescent="0.25">
      <c r="A49" s="14" t="s">
        <v>132</v>
      </c>
      <c r="B49" s="37"/>
      <c r="C49" s="15"/>
      <c r="D49" s="15" t="s">
        <v>117</v>
      </c>
      <c r="E49" s="15" t="s">
        <v>118</v>
      </c>
      <c r="F49" s="15" t="s">
        <v>119</v>
      </c>
      <c r="G49" s="15" t="s">
        <v>120</v>
      </c>
      <c r="H49" s="15" t="s">
        <v>121</v>
      </c>
      <c r="I49" s="15" t="s">
        <v>122</v>
      </c>
      <c r="J49" s="15" t="s">
        <v>123</v>
      </c>
      <c r="K49" s="15" t="s">
        <v>124</v>
      </c>
      <c r="L49" s="15" t="s">
        <v>125</v>
      </c>
      <c r="M49" s="15" t="s">
        <v>126</v>
      </c>
      <c r="N49" s="2" t="s">
        <v>133</v>
      </c>
    </row>
    <row r="50" spans="1:14" x14ac:dyDescent="0.25">
      <c r="A50" s="5" t="s">
        <v>128</v>
      </c>
      <c r="D50" s="18">
        <v>0.2</v>
      </c>
      <c r="E50" s="18">
        <v>0.19500000000000001</v>
      </c>
      <c r="F50" s="18">
        <v>0.19</v>
      </c>
      <c r="G50" s="18">
        <v>0.185</v>
      </c>
      <c r="H50" s="18">
        <v>0.18</v>
      </c>
      <c r="I50" s="18">
        <v>0.18</v>
      </c>
      <c r="J50" s="18">
        <v>0.18</v>
      </c>
      <c r="K50" s="18">
        <v>0.18</v>
      </c>
      <c r="L50" s="18">
        <v>0.18</v>
      </c>
      <c r="M50" s="18">
        <v>0.18</v>
      </c>
    </row>
    <row r="51" spans="1:14" x14ac:dyDescent="0.25">
      <c r="A51" s="5" t="s">
        <v>129</v>
      </c>
      <c r="D51" s="18">
        <v>0.2</v>
      </c>
      <c r="E51" s="18">
        <v>0.2</v>
      </c>
      <c r="F51" s="18">
        <v>0.2</v>
      </c>
      <c r="G51" s="18">
        <v>0.2</v>
      </c>
      <c r="H51" s="18">
        <v>0.2</v>
      </c>
      <c r="I51" s="18">
        <v>0.2</v>
      </c>
      <c r="J51" s="18">
        <v>0.2</v>
      </c>
      <c r="K51" s="18">
        <v>0.2</v>
      </c>
      <c r="L51" s="18">
        <v>0.2</v>
      </c>
      <c r="M51" s="18">
        <v>0.2</v>
      </c>
    </row>
    <row r="52" spans="1:14" x14ac:dyDescent="0.25">
      <c r="A52" s="5" t="s">
        <v>130</v>
      </c>
      <c r="D52" s="18">
        <v>0.20499999999999999</v>
      </c>
      <c r="E52" s="18">
        <v>0.20799999999999999</v>
      </c>
      <c r="F52" s="18">
        <v>0.21099999999999999</v>
      </c>
      <c r="G52" s="18">
        <v>0.214</v>
      </c>
      <c r="H52" s="18">
        <v>0.217</v>
      </c>
      <c r="I52" s="18">
        <v>0.22</v>
      </c>
      <c r="J52" s="18">
        <v>0.22</v>
      </c>
      <c r="K52" s="18">
        <v>0.22</v>
      </c>
      <c r="L52" s="18">
        <v>0.22</v>
      </c>
      <c r="M52" s="18">
        <v>0.22</v>
      </c>
    </row>
    <row r="53" spans="1:14" x14ac:dyDescent="0.25">
      <c r="A53" s="9" t="s">
        <v>131</v>
      </c>
      <c r="D53" s="38">
        <f t="shared" ref="D53:M53" si="1">CHOOSE($B$41,D50,D51,D52)</f>
        <v>0.2</v>
      </c>
      <c r="E53" s="38">
        <f t="shared" si="1"/>
        <v>0.2</v>
      </c>
      <c r="F53" s="38">
        <f t="shared" si="1"/>
        <v>0.2</v>
      </c>
      <c r="G53" s="38">
        <f t="shared" si="1"/>
        <v>0.2</v>
      </c>
      <c r="H53" s="38">
        <f t="shared" si="1"/>
        <v>0.2</v>
      </c>
      <c r="I53" s="38">
        <f t="shared" si="1"/>
        <v>0.2</v>
      </c>
      <c r="J53" s="38">
        <f t="shared" si="1"/>
        <v>0.2</v>
      </c>
      <c r="K53" s="38">
        <f t="shared" si="1"/>
        <v>0.2</v>
      </c>
      <c r="L53" s="38">
        <f t="shared" si="1"/>
        <v>0.2</v>
      </c>
      <c r="M53" s="38">
        <f t="shared" si="1"/>
        <v>0.2</v>
      </c>
    </row>
    <row r="55" spans="1:14" x14ac:dyDescent="0.25">
      <c r="A55" s="14" t="s">
        <v>134</v>
      </c>
      <c r="B55" s="37"/>
      <c r="C55" s="15"/>
      <c r="D55" s="15" t="s">
        <v>117</v>
      </c>
      <c r="E55" s="15" t="s">
        <v>118</v>
      </c>
      <c r="F55" s="15" t="s">
        <v>119</v>
      </c>
      <c r="G55" s="15" t="s">
        <v>120</v>
      </c>
      <c r="H55" s="15" t="s">
        <v>121</v>
      </c>
      <c r="I55" s="15" t="s">
        <v>122</v>
      </c>
      <c r="J55" s="15" t="s">
        <v>123</v>
      </c>
      <c r="K55" s="15" t="s">
        <v>124</v>
      </c>
      <c r="L55" s="15" t="s">
        <v>125</v>
      </c>
      <c r="M55" s="15" t="s">
        <v>126</v>
      </c>
      <c r="N55" s="2" t="s">
        <v>135</v>
      </c>
    </row>
    <row r="56" spans="1:14" x14ac:dyDescent="0.25">
      <c r="A56" s="5" t="s">
        <v>128</v>
      </c>
      <c r="D56" s="18">
        <v>5.8000000000000003E-2</v>
      </c>
      <c r="E56" s="18">
        <v>5.8000000000000003E-2</v>
      </c>
      <c r="F56" s="18">
        <v>5.6000000000000001E-2</v>
      </c>
      <c r="G56" s="18">
        <v>5.5E-2</v>
      </c>
      <c r="H56" s="18">
        <v>5.5E-2</v>
      </c>
      <c r="I56" s="18">
        <v>5.5E-2</v>
      </c>
      <c r="J56" s="18">
        <v>5.5E-2</v>
      </c>
      <c r="K56" s="18">
        <v>5.5E-2</v>
      </c>
      <c r="L56" s="18">
        <v>5.5E-2</v>
      </c>
      <c r="M56" s="18">
        <v>5.5E-2</v>
      </c>
    </row>
    <row r="57" spans="1:14" x14ac:dyDescent="0.25">
      <c r="A57" s="5" t="s">
        <v>129</v>
      </c>
      <c r="D57" s="18">
        <v>5.8000000000000003E-2</v>
      </c>
      <c r="E57" s="18">
        <v>5.6000000000000001E-2</v>
      </c>
      <c r="F57" s="18">
        <v>5.3999999999999999E-2</v>
      </c>
      <c r="G57" s="18">
        <v>5.1999999999999998E-2</v>
      </c>
      <c r="H57" s="18">
        <v>0.05</v>
      </c>
      <c r="I57" s="18">
        <v>0.05</v>
      </c>
      <c r="J57" s="18">
        <v>0.05</v>
      </c>
      <c r="K57" s="18">
        <v>0.05</v>
      </c>
      <c r="L57" s="18">
        <v>0.05</v>
      </c>
      <c r="M57" s="18">
        <v>0.05</v>
      </c>
    </row>
    <row r="58" spans="1:14" x14ac:dyDescent="0.25">
      <c r="A58" s="5" t="s">
        <v>130</v>
      </c>
      <c r="D58" s="18">
        <v>5.8000000000000003E-2</v>
      </c>
      <c r="E58" s="18">
        <v>5.3999999999999999E-2</v>
      </c>
      <c r="F58" s="18">
        <v>0.05</v>
      </c>
      <c r="G58" s="18">
        <v>4.8000000000000001E-2</v>
      </c>
      <c r="H58" s="18">
        <v>4.4999999999999998E-2</v>
      </c>
      <c r="I58" s="18">
        <v>4.4999999999999998E-2</v>
      </c>
      <c r="J58" s="18">
        <v>4.4999999999999998E-2</v>
      </c>
      <c r="K58" s="18">
        <v>4.4999999999999998E-2</v>
      </c>
      <c r="L58" s="18">
        <v>4.4999999999999998E-2</v>
      </c>
      <c r="M58" s="18">
        <v>4.4999999999999998E-2</v>
      </c>
    </row>
    <row r="59" spans="1:14" x14ac:dyDescent="0.25">
      <c r="A59" s="9" t="s">
        <v>131</v>
      </c>
      <c r="D59" s="38">
        <f t="shared" ref="D59:M59" si="2">CHOOSE($B$41,D56,D57,D58)</f>
        <v>5.8000000000000003E-2</v>
      </c>
      <c r="E59" s="38">
        <f t="shared" si="2"/>
        <v>5.6000000000000001E-2</v>
      </c>
      <c r="F59" s="38">
        <f t="shared" si="2"/>
        <v>5.3999999999999999E-2</v>
      </c>
      <c r="G59" s="38">
        <f t="shared" si="2"/>
        <v>5.1999999999999998E-2</v>
      </c>
      <c r="H59" s="38">
        <f t="shared" si="2"/>
        <v>0.05</v>
      </c>
      <c r="I59" s="38">
        <f t="shared" si="2"/>
        <v>0.05</v>
      </c>
      <c r="J59" s="38">
        <f t="shared" si="2"/>
        <v>0.05</v>
      </c>
      <c r="K59" s="38">
        <f t="shared" si="2"/>
        <v>0.05</v>
      </c>
      <c r="L59" s="38">
        <f t="shared" si="2"/>
        <v>0.05</v>
      </c>
      <c r="M59" s="38">
        <f t="shared" si="2"/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8" customWidth="1"/>
    <col min="2" max="2" width="3" customWidth="1"/>
    <col min="3" max="8" width="12" customWidth="1"/>
  </cols>
  <sheetData>
    <row r="1" spans="1:8" ht="18" x14ac:dyDescent="0.25">
      <c r="A1" s="1" t="s">
        <v>136</v>
      </c>
    </row>
    <row r="2" spans="1:8" x14ac:dyDescent="0.25">
      <c r="A2" s="2" t="s">
        <v>137</v>
      </c>
    </row>
    <row r="4" spans="1:8" x14ac:dyDescent="0.25">
      <c r="A4" s="37"/>
      <c r="B4" s="37"/>
      <c r="C4" s="15" t="s">
        <v>49</v>
      </c>
      <c r="D4" s="15" t="s">
        <v>50</v>
      </c>
      <c r="E4" s="15" t="s">
        <v>51</v>
      </c>
      <c r="F4" s="15" t="s">
        <v>52</v>
      </c>
      <c r="G4" s="15" t="s">
        <v>53</v>
      </c>
      <c r="H4" s="15" t="s">
        <v>54</v>
      </c>
    </row>
    <row r="5" spans="1:8" x14ac:dyDescent="0.25">
      <c r="A5" s="5" t="s">
        <v>138</v>
      </c>
      <c r="C5" s="19">
        <v>20402</v>
      </c>
      <c r="D5" s="19">
        <v>27716</v>
      </c>
      <c r="E5" s="19">
        <v>32569</v>
      </c>
      <c r="F5" s="19">
        <v>35947</v>
      </c>
      <c r="G5" s="19">
        <v>38632</v>
      </c>
      <c r="H5" s="19">
        <v>39864</v>
      </c>
    </row>
    <row r="6" spans="1:8" x14ac:dyDescent="0.25">
      <c r="A6" s="5" t="s">
        <v>139</v>
      </c>
      <c r="C6" s="19">
        <v>-9013</v>
      </c>
      <c r="D6" s="19">
        <v>-11902</v>
      </c>
      <c r="E6" s="19">
        <v>-14011</v>
      </c>
      <c r="F6" s="19">
        <v>-15186</v>
      </c>
      <c r="G6" s="19">
        <v>-16288</v>
      </c>
      <c r="H6" s="19">
        <v>-16642</v>
      </c>
    </row>
    <row r="7" spans="1:8" x14ac:dyDescent="0.25">
      <c r="A7" s="5" t="s">
        <v>140</v>
      </c>
      <c r="C7" s="19">
        <v>11390</v>
      </c>
      <c r="D7" s="19">
        <v>15814</v>
      </c>
      <c r="E7" s="19">
        <v>18559</v>
      </c>
      <c r="F7" s="19">
        <v>20762</v>
      </c>
      <c r="G7" s="19">
        <v>22343</v>
      </c>
      <c r="H7" s="19">
        <v>23222</v>
      </c>
    </row>
    <row r="8" spans="1:8" x14ac:dyDescent="0.25">
      <c r="A8" s="5" t="s">
        <v>141</v>
      </c>
      <c r="C8" s="19">
        <v>4552</v>
      </c>
      <c r="D8" s="19">
        <v>7183</v>
      </c>
      <c r="E8" s="19">
        <v>8649</v>
      </c>
      <c r="F8" s="19">
        <v>9850</v>
      </c>
      <c r="G8" s="19">
        <v>10728</v>
      </c>
      <c r="H8" s="19">
        <v>11267</v>
      </c>
    </row>
    <row r="9" spans="1:8" x14ac:dyDescent="0.25">
      <c r="A9" s="5" t="s">
        <v>142</v>
      </c>
      <c r="C9" s="19">
        <v>-3045</v>
      </c>
      <c r="D9" s="19">
        <v>-2901</v>
      </c>
      <c r="E9" s="19">
        <v>-2899</v>
      </c>
      <c r="F9" s="19">
        <v>-3041</v>
      </c>
      <c r="G9" s="19">
        <v>-3174</v>
      </c>
      <c r="H9" s="19">
        <v>-3270</v>
      </c>
    </row>
    <row r="10" spans="1:8" x14ac:dyDescent="0.25">
      <c r="A10" s="5" t="s">
        <v>143</v>
      </c>
      <c r="C10" s="19">
        <v>1507</v>
      </c>
      <c r="D10" s="19">
        <v>4282</v>
      </c>
      <c r="E10" s="19">
        <v>5520</v>
      </c>
      <c r="F10" s="19">
        <v>6809</v>
      </c>
      <c r="G10" s="19">
        <v>7554</v>
      </c>
      <c r="H10" s="19">
        <v>7997</v>
      </c>
    </row>
    <row r="11" spans="1:8" x14ac:dyDescent="0.25">
      <c r="A11" s="5" t="s">
        <v>144</v>
      </c>
      <c r="C11" s="19">
        <v>1401</v>
      </c>
      <c r="D11" s="19">
        <v>4199</v>
      </c>
      <c r="E11" s="19">
        <v>5358</v>
      </c>
      <c r="F11" s="19">
        <v>6870</v>
      </c>
      <c r="G11" s="19">
        <v>7577</v>
      </c>
      <c r="H11" s="19">
        <v>8020</v>
      </c>
    </row>
    <row r="12" spans="1:8" x14ac:dyDescent="0.25">
      <c r="A12" s="5" t="s">
        <v>145</v>
      </c>
      <c r="C12" s="19">
        <v>-297</v>
      </c>
      <c r="D12" s="19">
        <v>-949</v>
      </c>
      <c r="E12" s="19">
        <v>-1211</v>
      </c>
      <c r="F12" s="19">
        <v>-1475</v>
      </c>
      <c r="G12" s="19">
        <v>-1700</v>
      </c>
      <c r="H12" s="19">
        <v>-1800</v>
      </c>
    </row>
    <row r="13" spans="1:8" x14ac:dyDescent="0.25">
      <c r="A13" s="5" t="s">
        <v>146</v>
      </c>
      <c r="C13" s="19">
        <v>1104</v>
      </c>
      <c r="D13" s="19">
        <v>3250</v>
      </c>
      <c r="E13" s="19">
        <v>4147</v>
      </c>
      <c r="F13" s="19">
        <v>5395</v>
      </c>
      <c r="G13" s="19">
        <v>5877</v>
      </c>
      <c r="H13" s="19">
        <v>6220</v>
      </c>
    </row>
    <row r="14" spans="1:8" x14ac:dyDescent="0.25">
      <c r="A14" s="9" t="s">
        <v>147</v>
      </c>
    </row>
    <row r="15" spans="1:8" x14ac:dyDescent="0.25">
      <c r="A15" s="5" t="s">
        <v>148</v>
      </c>
      <c r="C15" s="19">
        <v>2321</v>
      </c>
      <c r="D15" s="19">
        <v>3042</v>
      </c>
      <c r="E15" s="19">
        <v>3191</v>
      </c>
      <c r="F15" s="19">
        <v>2966</v>
      </c>
      <c r="G15" s="19">
        <v>3321</v>
      </c>
      <c r="H15" s="19">
        <v>3249</v>
      </c>
    </row>
    <row r="16" spans="1:8" x14ac:dyDescent="0.25">
      <c r="A16" s="5" t="s">
        <v>149</v>
      </c>
      <c r="C16" s="19">
        <v>715</v>
      </c>
      <c r="D16" s="19">
        <v>842</v>
      </c>
      <c r="E16" s="19">
        <v>851</v>
      </c>
      <c r="F16" s="19">
        <v>1038</v>
      </c>
      <c r="G16" s="19">
        <v>1088</v>
      </c>
      <c r="H16" s="19">
        <v>1166</v>
      </c>
    </row>
    <row r="17" spans="1:8" x14ac:dyDescent="0.25">
      <c r="A17" s="5" t="s">
        <v>150</v>
      </c>
      <c r="C17" s="19">
        <v>4659</v>
      </c>
      <c r="D17" s="19">
        <v>6199</v>
      </c>
      <c r="E17" s="19">
        <v>6297</v>
      </c>
      <c r="F17" s="19">
        <v>7072</v>
      </c>
      <c r="G17" s="19">
        <v>8278</v>
      </c>
      <c r="H17" s="19">
        <v>8269</v>
      </c>
    </row>
    <row r="18" spans="1:8" x14ac:dyDescent="0.25">
      <c r="A18" s="9" t="s">
        <v>151</v>
      </c>
      <c r="C18" s="32">
        <f t="shared" ref="C18:H18" si="0">C15+C16-C17</f>
        <v>-1623</v>
      </c>
      <c r="D18" s="32">
        <f t="shared" si="0"/>
        <v>-2315</v>
      </c>
      <c r="E18" s="32">
        <f t="shared" si="0"/>
        <v>-2255</v>
      </c>
      <c r="F18" s="32">
        <f t="shared" si="0"/>
        <v>-3068</v>
      </c>
      <c r="G18" s="32">
        <f t="shared" si="0"/>
        <v>-3869</v>
      </c>
      <c r="H18" s="32">
        <f t="shared" si="0"/>
        <v>-3854</v>
      </c>
    </row>
    <row r="19" spans="1:8" x14ac:dyDescent="0.25">
      <c r="A19" s="5" t="s">
        <v>91</v>
      </c>
      <c r="C19" s="19">
        <v>7398</v>
      </c>
      <c r="D19" s="19">
        <v>7021</v>
      </c>
      <c r="E19" s="19">
        <v>5561</v>
      </c>
      <c r="F19" s="19">
        <v>7007</v>
      </c>
      <c r="G19" s="19">
        <v>6382</v>
      </c>
      <c r="H19" s="19">
        <v>5276</v>
      </c>
    </row>
    <row r="20" spans="1:8" x14ac:dyDescent="0.25">
      <c r="A20" s="5" t="s">
        <v>93</v>
      </c>
      <c r="C20" s="19">
        <v>176</v>
      </c>
      <c r="D20" s="19">
        <v>2374</v>
      </c>
      <c r="E20" s="19">
        <v>4522</v>
      </c>
      <c r="F20" s="19">
        <v>4415</v>
      </c>
      <c r="G20" s="19">
        <v>5120</v>
      </c>
      <c r="H20" s="19">
        <v>5684</v>
      </c>
    </row>
    <row r="21" spans="1:8" x14ac:dyDescent="0.25">
      <c r="A21" s="5" t="s">
        <v>152</v>
      </c>
      <c r="C21" s="19">
        <v>14</v>
      </c>
      <c r="D21" s="19">
        <v>36</v>
      </c>
      <c r="E21" s="19">
        <v>13</v>
      </c>
      <c r="F21" s="19">
        <v>16</v>
      </c>
      <c r="G21" s="19">
        <v>7</v>
      </c>
      <c r="H21" s="19">
        <v>2</v>
      </c>
    </row>
    <row r="22" spans="1:8" x14ac:dyDescent="0.25">
      <c r="A22" s="5" t="s">
        <v>153</v>
      </c>
      <c r="C22" s="19">
        <v>4599</v>
      </c>
      <c r="D22" s="19">
        <v>4262</v>
      </c>
      <c r="E22" s="19">
        <v>3924</v>
      </c>
      <c r="F22" s="19">
        <v>4123</v>
      </c>
      <c r="G22" s="19">
        <v>4180</v>
      </c>
      <c r="H22" s="19">
        <v>4394</v>
      </c>
    </row>
    <row r="23" spans="1:8" x14ac:dyDescent="0.25">
      <c r="A23" s="5" t="s">
        <v>154</v>
      </c>
      <c r="C23" s="19">
        <v>1552</v>
      </c>
      <c r="D23" s="19">
        <v>1562</v>
      </c>
      <c r="E23" s="19">
        <v>1517</v>
      </c>
      <c r="F23" s="19">
        <v>1428</v>
      </c>
      <c r="G23" s="19">
        <v>1542</v>
      </c>
      <c r="H23" s="19">
        <v>1539</v>
      </c>
    </row>
    <row r="24" spans="1:8" x14ac:dyDescent="0.25">
      <c r="A24" s="5" t="s">
        <v>155</v>
      </c>
      <c r="C24" s="19">
        <v>14550</v>
      </c>
      <c r="D24" s="19">
        <v>15759</v>
      </c>
      <c r="E24" s="19">
        <v>17033</v>
      </c>
      <c r="F24" s="19">
        <v>18672</v>
      </c>
      <c r="G24" s="19">
        <v>19676</v>
      </c>
      <c r="H24" s="19">
        <v>20395</v>
      </c>
    </row>
    <row r="25" spans="1:8" x14ac:dyDescent="0.25">
      <c r="A25" s="5" t="s">
        <v>156</v>
      </c>
      <c r="C25" s="19">
        <v>26418</v>
      </c>
      <c r="D25" s="19">
        <v>28945</v>
      </c>
      <c r="E25" s="19">
        <v>29983</v>
      </c>
      <c r="F25" s="19">
        <v>32735</v>
      </c>
      <c r="G25" s="19">
        <v>34714</v>
      </c>
      <c r="H25" s="19">
        <v>35638</v>
      </c>
    </row>
    <row r="26" spans="1:8" x14ac:dyDescent="0.25">
      <c r="A26" s="9" t="s">
        <v>157</v>
      </c>
    </row>
    <row r="27" spans="1:8" x14ac:dyDescent="0.25">
      <c r="A27" s="5" t="s">
        <v>158</v>
      </c>
      <c r="C27" s="19">
        <v>3017</v>
      </c>
      <c r="D27" s="19">
        <v>6754</v>
      </c>
      <c r="E27" s="19">
        <v>6674</v>
      </c>
      <c r="F27" s="19">
        <v>8667</v>
      </c>
      <c r="G27" s="19">
        <v>9288</v>
      </c>
      <c r="H27" s="19">
        <v>9232</v>
      </c>
    </row>
    <row r="28" spans="1:8" x14ac:dyDescent="0.25">
      <c r="A28" s="5" t="s">
        <v>159</v>
      </c>
      <c r="C28" s="19">
        <v>-467</v>
      </c>
      <c r="D28" s="19">
        <v>-666</v>
      </c>
      <c r="E28" s="19">
        <v>-1027</v>
      </c>
      <c r="F28" s="19">
        <v>-1399</v>
      </c>
      <c r="G28" s="19">
        <v>-2207</v>
      </c>
      <c r="H28" s="19">
        <v>-2193</v>
      </c>
    </row>
    <row r="29" spans="1:8" x14ac:dyDescent="0.25">
      <c r="A29" s="5" t="s">
        <v>160</v>
      </c>
      <c r="C29" s="19">
        <v>-241</v>
      </c>
      <c r="D29" s="19">
        <v>-460</v>
      </c>
      <c r="E29" s="19">
        <v>-388</v>
      </c>
      <c r="F29" s="19">
        <v>-473</v>
      </c>
      <c r="G29" s="19">
        <v>-465</v>
      </c>
      <c r="H29" s="19">
        <v>-519</v>
      </c>
    </row>
    <row r="30" spans="1:8" x14ac:dyDescent="0.25">
      <c r="A30" s="5" t="s">
        <v>161</v>
      </c>
      <c r="C30" s="19">
        <v>-1673</v>
      </c>
      <c r="D30" s="19">
        <v>-1668</v>
      </c>
      <c r="E30" s="19">
        <v>-1621</v>
      </c>
      <c r="F30" s="19">
        <v>-1733</v>
      </c>
      <c r="G30" s="19">
        <v>-1802</v>
      </c>
      <c r="H30" s="19">
        <v>-1834</v>
      </c>
    </row>
    <row r="31" spans="1:8" x14ac:dyDescent="0.25">
      <c r="A31" s="5" t="s">
        <v>162</v>
      </c>
      <c r="C31" s="19">
        <v>120</v>
      </c>
      <c r="D31" s="19">
        <v>92</v>
      </c>
      <c r="E31" s="19">
        <v>116</v>
      </c>
      <c r="F31" s="19">
        <v>196</v>
      </c>
      <c r="G31" s="19">
        <v>223</v>
      </c>
      <c r="H31" s="19">
        <v>215</v>
      </c>
    </row>
    <row r="32" spans="1:8" x14ac:dyDescent="0.25">
      <c r="A32" s="5" t="s">
        <v>163</v>
      </c>
      <c r="C32" s="19">
        <v>-1090</v>
      </c>
      <c r="D32" s="19">
        <v>-2192</v>
      </c>
      <c r="E32" s="19">
        <v>-2914</v>
      </c>
      <c r="F32" s="19">
        <v>-3744</v>
      </c>
      <c r="G32" s="19">
        <v>-4797</v>
      </c>
      <c r="H32" s="19">
        <v>-5235</v>
      </c>
    </row>
    <row r="34" spans="1:8" x14ac:dyDescent="0.25">
      <c r="A34" s="3" t="s">
        <v>164</v>
      </c>
      <c r="B34" s="4"/>
      <c r="C34" s="4"/>
      <c r="D34" s="4"/>
      <c r="E34" s="4"/>
      <c r="F34" s="4"/>
      <c r="G34" s="4"/>
      <c r="H34" s="4"/>
    </row>
    <row r="35" spans="1:8" x14ac:dyDescent="0.25">
      <c r="A35" s="5" t="s">
        <v>116</v>
      </c>
      <c r="D35" s="39">
        <f>D5/C5-1</f>
        <v>0.3584942652681109</v>
      </c>
      <c r="E35" s="39">
        <f>E5/D5-1</f>
        <v>0.17509741665463996</v>
      </c>
      <c r="F35" s="39">
        <f>F5/E5-1</f>
        <v>0.10371825969480186</v>
      </c>
      <c r="G35" s="39">
        <f>G5/F5-1</f>
        <v>7.4693298467187752E-2</v>
      </c>
      <c r="H35" s="39">
        <f>H5/G5-1</f>
        <v>3.1890660592255093E-2</v>
      </c>
    </row>
    <row r="36" spans="1:8" x14ac:dyDescent="0.25">
      <c r="A36" s="5" t="s">
        <v>140</v>
      </c>
      <c r="C36" s="39">
        <f t="shared" ref="C36:H36" si="1">C7/C5</f>
        <v>0.5582786001372414</v>
      </c>
      <c r="D36" s="39">
        <f t="shared" si="1"/>
        <v>0.57057295425025256</v>
      </c>
      <c r="E36" s="39">
        <f t="shared" si="1"/>
        <v>0.56983634744695877</v>
      </c>
      <c r="F36" s="39">
        <f t="shared" si="1"/>
        <v>0.57757253734664926</v>
      </c>
      <c r="G36" s="39">
        <f t="shared" si="1"/>
        <v>0.57835473182853592</v>
      </c>
      <c r="H36" s="39">
        <f t="shared" si="1"/>
        <v>0.58253060405378287</v>
      </c>
    </row>
    <row r="37" spans="1:8" x14ac:dyDescent="0.25">
      <c r="A37" s="5" t="s">
        <v>165</v>
      </c>
      <c r="C37" s="39">
        <f t="shared" ref="C37:H37" si="2">C8/C5</f>
        <v>0.2231153808450152</v>
      </c>
      <c r="D37" s="39">
        <f t="shared" si="2"/>
        <v>0.25916438158464422</v>
      </c>
      <c r="E37" s="39">
        <f t="shared" si="2"/>
        <v>0.2655592741564064</v>
      </c>
      <c r="F37" s="39">
        <f t="shared" si="2"/>
        <v>0.27401452137869642</v>
      </c>
      <c r="G37" s="39">
        <f t="shared" si="2"/>
        <v>0.27769724580658522</v>
      </c>
      <c r="H37" s="39">
        <f t="shared" si="2"/>
        <v>0.28263596227172388</v>
      </c>
    </row>
    <row r="38" spans="1:8" x14ac:dyDescent="0.25">
      <c r="A38" s="5" t="s">
        <v>132</v>
      </c>
      <c r="C38" s="39">
        <f t="shared" ref="C38:H38" si="3">C10/C5</f>
        <v>7.3865307322811491E-2</v>
      </c>
      <c r="D38" s="39">
        <f t="shared" si="3"/>
        <v>0.15449559821041997</v>
      </c>
      <c r="E38" s="39">
        <f t="shared" si="3"/>
        <v>0.1694863213485216</v>
      </c>
      <c r="F38" s="39">
        <f t="shared" si="3"/>
        <v>0.18941775391548668</v>
      </c>
      <c r="G38" s="39">
        <f t="shared" si="3"/>
        <v>0.19553737833920065</v>
      </c>
      <c r="H38" s="39">
        <f t="shared" si="3"/>
        <v>0.20060706401766004</v>
      </c>
    </row>
    <row r="39" spans="1:8" x14ac:dyDescent="0.25">
      <c r="A39" s="5" t="s">
        <v>166</v>
      </c>
      <c r="C39" s="39">
        <f t="shared" ref="C39:H39" si="4">C13/C5</f>
        <v>5.4112341927262032E-2</v>
      </c>
      <c r="D39" s="39">
        <f t="shared" si="4"/>
        <v>0.11726078799249531</v>
      </c>
      <c r="E39" s="39">
        <f t="shared" si="4"/>
        <v>0.1273296693174491</v>
      </c>
      <c r="F39" s="39">
        <f t="shared" si="4"/>
        <v>0.15008206526274792</v>
      </c>
      <c r="G39" s="39">
        <f t="shared" si="4"/>
        <v>0.15212776972458067</v>
      </c>
      <c r="H39" s="39">
        <f t="shared" si="4"/>
        <v>0.15603050371262292</v>
      </c>
    </row>
    <row r="40" spans="1:8" x14ac:dyDescent="0.25">
      <c r="A40" s="5" t="s">
        <v>167</v>
      </c>
      <c r="C40" s="39">
        <f t="shared" ref="C40:H40" si="5">-C12/C11</f>
        <v>0.21199143468950749</v>
      </c>
      <c r="D40" s="39">
        <f t="shared" si="5"/>
        <v>0.2260061919504644</v>
      </c>
      <c r="E40" s="39">
        <f t="shared" si="5"/>
        <v>0.22601717058603957</v>
      </c>
      <c r="F40" s="39">
        <f t="shared" si="5"/>
        <v>0.21470160116448325</v>
      </c>
      <c r="G40" s="39">
        <f t="shared" si="5"/>
        <v>0.22436320443447275</v>
      </c>
      <c r="H40" s="39">
        <f t="shared" si="5"/>
        <v>0.22443890274314215</v>
      </c>
    </row>
    <row r="41" spans="1:8" x14ac:dyDescent="0.25">
      <c r="A41" s="5" t="s">
        <v>106</v>
      </c>
      <c r="C41" s="39">
        <f t="shared" ref="C41:H41" si="6">-C9/C5</f>
        <v>0.14925007352220371</v>
      </c>
      <c r="D41" s="39">
        <f t="shared" si="6"/>
        <v>0.10466878337422428</v>
      </c>
      <c r="E41" s="39">
        <f t="shared" si="6"/>
        <v>8.9011022751696395E-2</v>
      </c>
      <c r="F41" s="39">
        <f t="shared" si="6"/>
        <v>8.4596767463209724E-2</v>
      </c>
      <c r="G41" s="39">
        <f t="shared" si="6"/>
        <v>8.2159867467384545E-2</v>
      </c>
      <c r="H41" s="39">
        <f t="shared" si="6"/>
        <v>8.2028898254063815E-2</v>
      </c>
    </row>
    <row r="42" spans="1:8" x14ac:dyDescent="0.25">
      <c r="A42" s="5" t="s">
        <v>108</v>
      </c>
      <c r="C42" s="39">
        <f t="shared" ref="C42:H42" si="7">-C30/C5</f>
        <v>8.2001764532888932E-2</v>
      </c>
      <c r="D42" s="39">
        <f t="shared" si="7"/>
        <v>6.0181844421994514E-2</v>
      </c>
      <c r="E42" s="39">
        <f t="shared" si="7"/>
        <v>4.9771254874266938E-2</v>
      </c>
      <c r="F42" s="39">
        <f t="shared" si="7"/>
        <v>4.8209864522769631E-2</v>
      </c>
      <c r="G42" s="39">
        <f t="shared" si="7"/>
        <v>4.6645268171464069E-2</v>
      </c>
      <c r="H42" s="39">
        <f t="shared" si="7"/>
        <v>4.6006421834236401E-2</v>
      </c>
    </row>
    <row r="43" spans="1:8" x14ac:dyDescent="0.25">
      <c r="A43" s="5" t="s">
        <v>109</v>
      </c>
      <c r="C43" s="40">
        <f t="shared" ref="C43:H43" si="8">C31/C5</f>
        <v>5.881776296441525E-3</v>
      </c>
      <c r="D43" s="40">
        <f t="shared" si="8"/>
        <v>3.3193823062490982E-3</v>
      </c>
      <c r="E43" s="40">
        <f t="shared" si="8"/>
        <v>3.5616690718167582E-3</v>
      </c>
      <c r="F43" s="40">
        <f t="shared" si="8"/>
        <v>5.4524716944390353E-3</v>
      </c>
      <c r="G43" s="40">
        <f t="shared" si="8"/>
        <v>5.7724166494098157E-3</v>
      </c>
      <c r="H43" s="40">
        <f t="shared" si="8"/>
        <v>5.3933373469797312E-3</v>
      </c>
    </row>
    <row r="44" spans="1:8" x14ac:dyDescent="0.25">
      <c r="A44" s="5" t="s">
        <v>111</v>
      </c>
      <c r="C44" s="39">
        <f t="shared" ref="C44:H44" si="9">C18/C5</f>
        <v>-7.9551024409371632E-2</v>
      </c>
      <c r="D44" s="39">
        <f t="shared" si="9"/>
        <v>-8.3525761293115897E-2</v>
      </c>
      <c r="E44" s="39">
        <f t="shared" si="9"/>
        <v>-6.9237618594368874E-2</v>
      </c>
      <c r="F44" s="39">
        <f t="shared" si="9"/>
        <v>-8.5347873257851842E-2</v>
      </c>
      <c r="G44" s="39">
        <f t="shared" si="9"/>
        <v>-0.10015013460343757</v>
      </c>
      <c r="H44" s="39">
        <f t="shared" si="9"/>
        <v>-9.667870760585992E-2</v>
      </c>
    </row>
    <row r="45" spans="1:8" x14ac:dyDescent="0.25">
      <c r="A45" s="5" t="s">
        <v>134</v>
      </c>
      <c r="C45" s="39">
        <f t="shared" ref="C45:H45" si="10">-(C28+C29)/C5</f>
        <v>3.4702480149004997E-2</v>
      </c>
      <c r="D45" s="39">
        <f t="shared" si="10"/>
        <v>4.0626353009092224E-2</v>
      </c>
      <c r="E45" s="39">
        <f t="shared" si="10"/>
        <v>4.3446221867419942E-2</v>
      </c>
      <c r="F45" s="39">
        <f t="shared" si="10"/>
        <v>5.2076668428519768E-2</v>
      </c>
      <c r="G45" s="39">
        <f t="shared" si="10"/>
        <v>6.916545868709878E-2</v>
      </c>
      <c r="H45" s="39">
        <f t="shared" si="10"/>
        <v>6.8031306441902473E-2</v>
      </c>
    </row>
    <row r="46" spans="1:8" x14ac:dyDescent="0.25">
      <c r="A46" s="5" t="s">
        <v>168</v>
      </c>
      <c r="C46" s="27">
        <f t="shared" ref="C46:H46" si="11">C27+C28+C29+C30</f>
        <v>636</v>
      </c>
      <c r="D46" s="27">
        <f t="shared" si="11"/>
        <v>3960</v>
      </c>
      <c r="E46" s="27">
        <f t="shared" si="11"/>
        <v>3638</v>
      </c>
      <c r="F46" s="27">
        <f t="shared" si="11"/>
        <v>5062</v>
      </c>
      <c r="G46" s="27">
        <f t="shared" si="11"/>
        <v>4814</v>
      </c>
      <c r="H46" s="27">
        <f t="shared" si="11"/>
        <v>4686</v>
      </c>
    </row>
    <row r="47" spans="1:8" x14ac:dyDescent="0.25">
      <c r="A47" s="5" t="s">
        <v>169</v>
      </c>
      <c r="C47" s="27">
        <f t="shared" ref="C47:H47" si="12">C19+C20-C21</f>
        <v>7560</v>
      </c>
      <c r="D47" s="27">
        <f t="shared" si="12"/>
        <v>9359</v>
      </c>
      <c r="E47" s="27">
        <f t="shared" si="12"/>
        <v>10070</v>
      </c>
      <c r="F47" s="27">
        <f t="shared" si="12"/>
        <v>11406</v>
      </c>
      <c r="G47" s="27">
        <f t="shared" si="12"/>
        <v>11495</v>
      </c>
      <c r="H47" s="27">
        <f t="shared" si="12"/>
        <v>10958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6" customWidth="1"/>
    <col min="2" max="2" width="2" customWidth="1"/>
    <col min="3" max="13" width="11" customWidth="1"/>
  </cols>
  <sheetData>
    <row r="1" spans="1:13" ht="18" x14ac:dyDescent="0.25">
      <c r="A1" s="1" t="s">
        <v>170</v>
      </c>
    </row>
    <row r="2" spans="1:13" x14ac:dyDescent="0.25">
      <c r="A2" s="2" t="str">
        <f>"Escenario: "&amp;Hipótesis!C41&amp;"  ·  WACC "&amp;ROUND(Hipótesis!B22*100,2)&amp;" %  ·  g "&amp;ROUND(Hipótesis!B23*100,2)&amp;" %"</f>
        <v>Escenario: Base  ·  WACC 8,97 %  ·  g 2,5 %</v>
      </c>
    </row>
    <row r="4" spans="1:13" x14ac:dyDescent="0.25">
      <c r="A4" s="14" t="s">
        <v>171</v>
      </c>
      <c r="B4" s="37"/>
      <c r="C4" s="15" t="s">
        <v>105</v>
      </c>
      <c r="D4" s="15" t="s">
        <v>117</v>
      </c>
      <c r="E4" s="15" t="s">
        <v>118</v>
      </c>
      <c r="F4" s="15" t="s">
        <v>119</v>
      </c>
      <c r="G4" s="15" t="s">
        <v>120</v>
      </c>
      <c r="H4" s="15" t="s">
        <v>121</v>
      </c>
      <c r="I4" s="15" t="s">
        <v>122</v>
      </c>
      <c r="J4" s="15" t="s">
        <v>123</v>
      </c>
      <c r="K4" s="15" t="s">
        <v>124</v>
      </c>
      <c r="L4" s="15" t="s">
        <v>125</v>
      </c>
      <c r="M4" s="15" t="s">
        <v>126</v>
      </c>
    </row>
    <row r="5" spans="1:13" x14ac:dyDescent="0.25">
      <c r="A5" s="9" t="s">
        <v>138</v>
      </c>
      <c r="C5" s="41">
        <f>Histórico!H5</f>
        <v>39864</v>
      </c>
      <c r="D5" s="32">
        <f t="shared" ref="D5:M5" si="0">C5*(1+D6)</f>
        <v>42853.799999999996</v>
      </c>
      <c r="E5" s="32">
        <f t="shared" si="0"/>
        <v>45853.565999999999</v>
      </c>
      <c r="F5" s="32">
        <f t="shared" si="0"/>
        <v>48834.047789999997</v>
      </c>
      <c r="G5" s="32">
        <f t="shared" si="0"/>
        <v>51764.090657399996</v>
      </c>
      <c r="H5" s="32">
        <f t="shared" si="0"/>
        <v>54611.115643556994</v>
      </c>
      <c r="I5" s="32">
        <f t="shared" si="0"/>
        <v>57341.671425734843</v>
      </c>
      <c r="J5" s="32">
        <f t="shared" si="0"/>
        <v>59922.046639892906</v>
      </c>
      <c r="K5" s="32">
        <f t="shared" si="0"/>
        <v>62318.92850548862</v>
      </c>
      <c r="L5" s="32">
        <f t="shared" si="0"/>
        <v>64500.091003180714</v>
      </c>
      <c r="M5" s="32">
        <f t="shared" si="0"/>
        <v>66435.093733276139</v>
      </c>
    </row>
    <row r="6" spans="1:13" x14ac:dyDescent="0.25">
      <c r="A6" s="5" t="s">
        <v>172</v>
      </c>
      <c r="C6" s="34">
        <f>Histórico!H35</f>
        <v>3.1890660592255093E-2</v>
      </c>
      <c r="D6" s="34">
        <f>Hipótesis!D47</f>
        <v>7.4999999999999997E-2</v>
      </c>
      <c r="E6" s="34">
        <f>Hipótesis!E47</f>
        <v>7.0000000000000007E-2</v>
      </c>
      <c r="F6" s="34">
        <f>Hipótesis!F47</f>
        <v>6.5000000000000002E-2</v>
      </c>
      <c r="G6" s="34">
        <f>Hipótesis!G47</f>
        <v>0.06</v>
      </c>
      <c r="H6" s="34">
        <f>Hipótesis!H47</f>
        <v>5.5E-2</v>
      </c>
      <c r="I6" s="34">
        <f>Hipótesis!I47</f>
        <v>0.05</v>
      </c>
      <c r="J6" s="34">
        <f>Hipótesis!J47</f>
        <v>4.4999999999999998E-2</v>
      </c>
      <c r="K6" s="34">
        <f>Hipótesis!K47</f>
        <v>0.04</v>
      </c>
      <c r="L6" s="34">
        <f>Hipótesis!L47</f>
        <v>3.5000000000000003E-2</v>
      </c>
      <c r="M6" s="34">
        <f>Hipótesis!M47</f>
        <v>0.03</v>
      </c>
    </row>
    <row r="7" spans="1:13" x14ac:dyDescent="0.25">
      <c r="A7" s="5" t="s">
        <v>173</v>
      </c>
      <c r="C7" s="34">
        <f>Histórico!H38</f>
        <v>0.20060706401766004</v>
      </c>
      <c r="D7" s="34">
        <f>Hipótesis!D53</f>
        <v>0.2</v>
      </c>
      <c r="E7" s="34">
        <f>Hipótesis!E53</f>
        <v>0.2</v>
      </c>
      <c r="F7" s="34">
        <f>Hipótesis!F53</f>
        <v>0.2</v>
      </c>
      <c r="G7" s="34">
        <f>Hipótesis!G53</f>
        <v>0.2</v>
      </c>
      <c r="H7" s="34">
        <f>Hipótesis!H53</f>
        <v>0.2</v>
      </c>
      <c r="I7" s="34">
        <f>Hipótesis!I53</f>
        <v>0.2</v>
      </c>
      <c r="J7" s="34">
        <f>Hipótesis!J53</f>
        <v>0.2</v>
      </c>
      <c r="K7" s="34">
        <f>Hipótesis!K53</f>
        <v>0.2</v>
      </c>
      <c r="L7" s="34">
        <f>Hipótesis!L53</f>
        <v>0.2</v>
      </c>
      <c r="M7" s="34">
        <f>Hipótesis!M53</f>
        <v>0.2</v>
      </c>
    </row>
    <row r="8" spans="1:13" x14ac:dyDescent="0.25">
      <c r="A8" s="5" t="s">
        <v>143</v>
      </c>
      <c r="C8" s="42">
        <f>Histórico!H10</f>
        <v>7997</v>
      </c>
      <c r="D8" s="27">
        <f t="shared" ref="D8:M8" si="1">D5*D7</f>
        <v>8570.76</v>
      </c>
      <c r="E8" s="27">
        <f t="shared" si="1"/>
        <v>9170.7132000000001</v>
      </c>
      <c r="F8" s="27">
        <f t="shared" si="1"/>
        <v>9766.809557999999</v>
      </c>
      <c r="G8" s="27">
        <f t="shared" si="1"/>
        <v>10352.81813148</v>
      </c>
      <c r="H8" s="27">
        <f t="shared" si="1"/>
        <v>10922.223128711399</v>
      </c>
      <c r="I8" s="27">
        <f t="shared" si="1"/>
        <v>11468.33428514697</v>
      </c>
      <c r="J8" s="27">
        <f t="shared" si="1"/>
        <v>11984.409327978581</v>
      </c>
      <c r="K8" s="27">
        <f t="shared" si="1"/>
        <v>12463.785701097724</v>
      </c>
      <c r="L8" s="27">
        <f t="shared" si="1"/>
        <v>12900.018200636143</v>
      </c>
      <c r="M8" s="27">
        <f t="shared" si="1"/>
        <v>13287.018746655229</v>
      </c>
    </row>
    <row r="9" spans="1:13" x14ac:dyDescent="0.25">
      <c r="A9" s="5" t="s">
        <v>174</v>
      </c>
      <c r="C9" s="42">
        <f>-Histórico!H9</f>
        <v>3270</v>
      </c>
      <c r="D9" s="27">
        <f>D5*Hipótesis!$B$35</f>
        <v>3514.0115999999998</v>
      </c>
      <c r="E9" s="27">
        <f>E5*Hipótesis!$B$35</f>
        <v>3759.9924120000001</v>
      </c>
      <c r="F9" s="27">
        <f>F5*Hipótesis!$B$35</f>
        <v>4004.3919187799997</v>
      </c>
      <c r="G9" s="27">
        <f>G5*Hipótesis!$B$35</f>
        <v>4244.6554339067998</v>
      </c>
      <c r="H9" s="27">
        <f>H5*Hipótesis!$B$35</f>
        <v>4478.1114827716738</v>
      </c>
      <c r="I9" s="27">
        <f>I5*Hipótesis!$B$35</f>
        <v>4702.0170569102575</v>
      </c>
      <c r="J9" s="27">
        <f>J5*Hipótesis!$B$35</f>
        <v>4913.6078244712189</v>
      </c>
      <c r="K9" s="27">
        <f>K5*Hipótesis!$B$35</f>
        <v>5110.1521374500671</v>
      </c>
      <c r="L9" s="27">
        <f>L5*Hipótesis!$B$35</f>
        <v>5289.007462260819</v>
      </c>
      <c r="M9" s="27">
        <f>M5*Hipótesis!$B$35</f>
        <v>5447.6776861286435</v>
      </c>
    </row>
    <row r="10" spans="1:13" x14ac:dyDescent="0.25">
      <c r="A10" s="9" t="s">
        <v>141</v>
      </c>
      <c r="C10" s="41">
        <f>Histórico!H8</f>
        <v>11267</v>
      </c>
      <c r="D10" s="32">
        <f t="shared" ref="D10:M10" si="2">D8+D9</f>
        <v>12084.7716</v>
      </c>
      <c r="E10" s="32">
        <f t="shared" si="2"/>
        <v>12930.705612</v>
      </c>
      <c r="F10" s="32">
        <f t="shared" si="2"/>
        <v>13771.201476779999</v>
      </c>
      <c r="G10" s="32">
        <f t="shared" si="2"/>
        <v>14597.473565386801</v>
      </c>
      <c r="H10" s="32">
        <f t="shared" si="2"/>
        <v>15400.334611483073</v>
      </c>
      <c r="I10" s="32">
        <f t="shared" si="2"/>
        <v>16170.351342057227</v>
      </c>
      <c r="J10" s="32">
        <f t="shared" si="2"/>
        <v>16898.0171524498</v>
      </c>
      <c r="K10" s="32">
        <f t="shared" si="2"/>
        <v>17573.93783854779</v>
      </c>
      <c r="L10" s="32">
        <f t="shared" si="2"/>
        <v>18189.025662896962</v>
      </c>
      <c r="M10" s="32">
        <f t="shared" si="2"/>
        <v>18734.696432783872</v>
      </c>
    </row>
    <row r="11" spans="1:13" x14ac:dyDescent="0.25">
      <c r="A11" s="5" t="s">
        <v>175</v>
      </c>
      <c r="C11" s="42">
        <f>Histórico!H30</f>
        <v>-1834</v>
      </c>
      <c r="D11" s="27">
        <f>-D5*Hipótesis!$B$36</f>
        <v>-1971.2747999999997</v>
      </c>
      <c r="E11" s="27">
        <f>-E5*Hipótesis!$B$36</f>
        <v>-2109.264036</v>
      </c>
      <c r="F11" s="27">
        <f>-F5*Hipótesis!$B$36</f>
        <v>-2246.3661983399998</v>
      </c>
      <c r="G11" s="27">
        <f>-G5*Hipótesis!$B$36</f>
        <v>-2381.1481702403998</v>
      </c>
      <c r="H11" s="27">
        <f>-H5*Hipótesis!$B$36</f>
        <v>-2512.1113196036217</v>
      </c>
      <c r="I11" s="27">
        <f>-I5*Hipótesis!$B$36</f>
        <v>-2637.7168855838027</v>
      </c>
      <c r="J11" s="27">
        <f>-J5*Hipótesis!$B$36</f>
        <v>-2756.4141454350738</v>
      </c>
      <c r="K11" s="27">
        <f>-K5*Hipótesis!$B$36</f>
        <v>-2866.6707112524764</v>
      </c>
      <c r="L11" s="27">
        <f>-L5*Hipótesis!$B$36</f>
        <v>-2967.0041861463128</v>
      </c>
      <c r="M11" s="27">
        <f>-M5*Hipótesis!$B$36</f>
        <v>-3056.0143117307025</v>
      </c>
    </row>
    <row r="12" spans="1:13" x14ac:dyDescent="0.25">
      <c r="A12" s="5" t="s">
        <v>176</v>
      </c>
      <c r="C12" s="42">
        <f>Histórico!H31</f>
        <v>215</v>
      </c>
      <c r="D12" s="27">
        <f>D5*Hipótesis!$B$37</f>
        <v>214.26899999999998</v>
      </c>
      <c r="E12" s="27">
        <f>E5*Hipótesis!$B$37</f>
        <v>229.26783</v>
      </c>
      <c r="F12" s="27">
        <f>F5*Hipótesis!$B$37</f>
        <v>244.17023895</v>
      </c>
      <c r="G12" s="27">
        <f>G5*Hipótesis!$B$37</f>
        <v>258.82045328699996</v>
      </c>
      <c r="H12" s="27">
        <f>H5*Hipótesis!$B$37</f>
        <v>273.05557821778496</v>
      </c>
      <c r="I12" s="27">
        <f>I5*Hipótesis!$B$37</f>
        <v>286.70835712867421</v>
      </c>
      <c r="J12" s="27">
        <f>J5*Hipótesis!$B$37</f>
        <v>299.61023319946452</v>
      </c>
      <c r="K12" s="27">
        <f>K5*Hipótesis!$B$37</f>
        <v>311.59464252744311</v>
      </c>
      <c r="L12" s="27">
        <f>L5*Hipótesis!$B$37</f>
        <v>322.50045501590358</v>
      </c>
      <c r="M12" s="27">
        <f>M5*Hipótesis!$B$37</f>
        <v>332.17546866638071</v>
      </c>
    </row>
    <row r="13" spans="1:13" x14ac:dyDescent="0.25">
      <c r="A13" s="5" t="s">
        <v>177</v>
      </c>
      <c r="D13" s="27">
        <f>-Hipótesis!$B$21*MAX(D8-D12,0)</f>
        <v>-1880.2104750000001</v>
      </c>
      <c r="E13" s="27">
        <f>-Hipótesis!$B$21*MAX(E8-E12,0)</f>
        <v>-2011.8252082499998</v>
      </c>
      <c r="F13" s="27">
        <f>-Hipótesis!$B$21*MAX(F8-F12,0)</f>
        <v>-2142.5938467862497</v>
      </c>
      <c r="G13" s="27">
        <f>-Hipótesis!$B$21*MAX(G8-G12,0)</f>
        <v>-2271.1494775934252</v>
      </c>
      <c r="H13" s="27">
        <f>-Hipótesis!$B$21*MAX(H8-H12,0)</f>
        <v>-2396.0626988610634</v>
      </c>
      <c r="I13" s="27">
        <f>-Hipótesis!$B$21*MAX(I8-I12,0)</f>
        <v>-2515.8658338041164</v>
      </c>
      <c r="J13" s="27">
        <f>-Hipótesis!$B$21*MAX(J8-J12,0)</f>
        <v>-2629.0797963253012</v>
      </c>
      <c r="K13" s="27">
        <f>-Hipótesis!$B$21*MAX(K8-K12,0)</f>
        <v>-2734.2429881783132</v>
      </c>
      <c r="L13" s="27">
        <f>-Hipótesis!$B$21*MAX(L8-L12,0)</f>
        <v>-2829.9414927645539</v>
      </c>
      <c r="M13" s="27">
        <f>-Hipótesis!$B$21*MAX(M8-M12,0)</f>
        <v>-2914.839737547491</v>
      </c>
    </row>
    <row r="14" spans="1:13" x14ac:dyDescent="0.25">
      <c r="A14" s="5" t="s">
        <v>178</v>
      </c>
      <c r="C14" s="42">
        <f>Histórico!H28+Histórico!H29</f>
        <v>-2712</v>
      </c>
      <c r="D14" s="27">
        <f>-D5*Hipótesis!D59</f>
        <v>-2485.5203999999999</v>
      </c>
      <c r="E14" s="27">
        <f>-E5*Hipótesis!E59</f>
        <v>-2567.799696</v>
      </c>
      <c r="F14" s="27">
        <f>-F5*Hipótesis!F59</f>
        <v>-2637.0385806599998</v>
      </c>
      <c r="G14" s="27">
        <f>-G5*Hipótesis!G59</f>
        <v>-2691.7327141847995</v>
      </c>
      <c r="H14" s="27">
        <f>-H5*Hipótesis!H59</f>
        <v>-2730.5557821778498</v>
      </c>
      <c r="I14" s="27">
        <f>-I5*Hipótesis!I59</f>
        <v>-2867.0835712867424</v>
      </c>
      <c r="J14" s="27">
        <f>-J5*Hipótesis!J59</f>
        <v>-2996.1023319946453</v>
      </c>
      <c r="K14" s="27">
        <f>-K5*Hipótesis!K59</f>
        <v>-3115.946425274431</v>
      </c>
      <c r="L14" s="27">
        <f>-L5*Hipótesis!L59</f>
        <v>-3225.0045501590357</v>
      </c>
      <c r="M14" s="27">
        <f>-M5*Hipótesis!M59</f>
        <v>-3321.7546866638072</v>
      </c>
    </row>
    <row r="15" spans="1:13" x14ac:dyDescent="0.25">
      <c r="A15" s="5" t="s">
        <v>179</v>
      </c>
      <c r="C15" s="42">
        <f>Histórico!H18</f>
        <v>-3854</v>
      </c>
      <c r="D15" s="27">
        <f>D5*Hipótesis!$B$38</f>
        <v>-3642.5729999999999</v>
      </c>
      <c r="E15" s="27">
        <f>E5*Hipótesis!$B$38</f>
        <v>-3897.5531100000003</v>
      </c>
      <c r="F15" s="27">
        <f>F5*Hipótesis!$B$38</f>
        <v>-4150.8940621499996</v>
      </c>
      <c r="G15" s="27">
        <f>G5*Hipótesis!$B$38</f>
        <v>-4399.9477058789998</v>
      </c>
      <c r="H15" s="27">
        <f>H5*Hipótesis!$B$38</f>
        <v>-4641.9448297023446</v>
      </c>
      <c r="I15" s="27">
        <f>I5*Hipótesis!$B$38</f>
        <v>-4874.0420711874622</v>
      </c>
      <c r="J15" s="27">
        <f>J5*Hipótesis!$B$38</f>
        <v>-5093.3739643908975</v>
      </c>
      <c r="K15" s="27">
        <f>K5*Hipótesis!$B$38</f>
        <v>-5297.1089229665331</v>
      </c>
      <c r="L15" s="27">
        <f>L5*Hipótesis!$B$38</f>
        <v>-5482.5077352703611</v>
      </c>
      <c r="M15" s="27">
        <f>M5*Hipótesis!$B$38</f>
        <v>-5646.9829673284721</v>
      </c>
    </row>
    <row r="16" spans="1:13" x14ac:dyDescent="0.25">
      <c r="A16" s="5" t="s">
        <v>180</v>
      </c>
      <c r="D16" s="27">
        <f t="shared" ref="D16:M16" si="3">C15-D15</f>
        <v>-211.42700000000013</v>
      </c>
      <c r="E16" s="27">
        <f t="shared" si="3"/>
        <v>254.98011000000042</v>
      </c>
      <c r="F16" s="27">
        <f t="shared" si="3"/>
        <v>253.34095214999934</v>
      </c>
      <c r="G16" s="27">
        <f t="shared" si="3"/>
        <v>249.05364372900021</v>
      </c>
      <c r="H16" s="27">
        <f t="shared" si="3"/>
        <v>241.99712382334474</v>
      </c>
      <c r="I16" s="27">
        <f t="shared" si="3"/>
        <v>232.09724148511759</v>
      </c>
      <c r="J16" s="27">
        <f t="shared" si="3"/>
        <v>219.33189320343536</v>
      </c>
      <c r="K16" s="27">
        <f t="shared" si="3"/>
        <v>203.73495857563557</v>
      </c>
      <c r="L16" s="27">
        <f t="shared" si="3"/>
        <v>185.39881230382798</v>
      </c>
      <c r="M16" s="27">
        <f t="shared" si="3"/>
        <v>164.47523205811103</v>
      </c>
    </row>
    <row r="17" spans="1:13" x14ac:dyDescent="0.25">
      <c r="A17" s="9" t="s">
        <v>181</v>
      </c>
      <c r="D17" s="32">
        <f t="shared" ref="D17:M17" si="4">D10+D11+D13+D14+D16</f>
        <v>5536.3389250000018</v>
      </c>
      <c r="E17" s="32">
        <f t="shared" si="4"/>
        <v>6496.7967817499994</v>
      </c>
      <c r="F17" s="32">
        <f t="shared" si="4"/>
        <v>6998.5438031437498</v>
      </c>
      <c r="G17" s="32">
        <f t="shared" si="4"/>
        <v>7502.4968470971771</v>
      </c>
      <c r="H17" s="32">
        <f t="shared" si="4"/>
        <v>8003.6019346638823</v>
      </c>
      <c r="I17" s="32">
        <f t="shared" si="4"/>
        <v>8381.7822928676833</v>
      </c>
      <c r="J17" s="32">
        <f t="shared" si="4"/>
        <v>8735.7527718982165</v>
      </c>
      <c r="K17" s="32">
        <f t="shared" si="4"/>
        <v>9060.8126724182039</v>
      </c>
      <c r="L17" s="32">
        <f t="shared" si="4"/>
        <v>9352.4742461308888</v>
      </c>
      <c r="M17" s="32">
        <f t="shared" si="4"/>
        <v>9606.5629288999844</v>
      </c>
    </row>
    <row r="18" spans="1:13" x14ac:dyDescent="0.25">
      <c r="A18" s="2" t="s">
        <v>182</v>
      </c>
      <c r="C18" s="42">
        <f>Histórico!H46</f>
        <v>4686</v>
      </c>
    </row>
    <row r="20" spans="1:13" x14ac:dyDescent="0.25">
      <c r="A20" s="5" t="s">
        <v>183</v>
      </c>
      <c r="D20" s="43">
        <f>Hipótesis!B8</f>
        <v>0.5</v>
      </c>
      <c r="E20" s="22">
        <v>1</v>
      </c>
      <c r="F20" s="22">
        <v>1</v>
      </c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22">
        <v>1</v>
      </c>
      <c r="M20" s="22">
        <v>1</v>
      </c>
    </row>
    <row r="21" spans="1:13" x14ac:dyDescent="0.25">
      <c r="A21" s="5" t="s">
        <v>184</v>
      </c>
      <c r="D21" s="27">
        <f t="shared" ref="D21:M21" si="5">D17*D20</f>
        <v>2768.1694625000009</v>
      </c>
      <c r="E21" s="27">
        <f t="shared" si="5"/>
        <v>6496.7967817499994</v>
      </c>
      <c r="F21" s="27">
        <f t="shared" si="5"/>
        <v>6998.5438031437498</v>
      </c>
      <c r="G21" s="27">
        <f t="shared" si="5"/>
        <v>7502.4968470971771</v>
      </c>
      <c r="H21" s="27">
        <f t="shared" si="5"/>
        <v>8003.6019346638823</v>
      </c>
      <c r="I21" s="27">
        <f t="shared" si="5"/>
        <v>8381.7822928676833</v>
      </c>
      <c r="J21" s="27">
        <f t="shared" si="5"/>
        <v>8735.7527718982165</v>
      </c>
      <c r="K21" s="27">
        <f t="shared" si="5"/>
        <v>9060.8126724182039</v>
      </c>
      <c r="L21" s="27">
        <f t="shared" si="5"/>
        <v>9352.4742461308888</v>
      </c>
      <c r="M21" s="27">
        <f t="shared" si="5"/>
        <v>9606.5629288999844</v>
      </c>
    </row>
    <row r="22" spans="1:13" x14ac:dyDescent="0.25">
      <c r="A22" s="5" t="s">
        <v>185</v>
      </c>
      <c r="D22" s="25">
        <f>Hipótesis!B8/2</f>
        <v>0.25</v>
      </c>
      <c r="E22" s="25">
        <f>Hipótesis!B8+0.5</f>
        <v>1</v>
      </c>
      <c r="F22" s="25">
        <f t="shared" ref="F22:M22" si="6">E22+1</f>
        <v>2</v>
      </c>
      <c r="G22" s="25">
        <f t="shared" si="6"/>
        <v>3</v>
      </c>
      <c r="H22" s="25">
        <f t="shared" si="6"/>
        <v>4</v>
      </c>
      <c r="I22" s="25">
        <f t="shared" si="6"/>
        <v>5</v>
      </c>
      <c r="J22" s="25">
        <f t="shared" si="6"/>
        <v>6</v>
      </c>
      <c r="K22" s="25">
        <f t="shared" si="6"/>
        <v>7</v>
      </c>
      <c r="L22" s="25">
        <f t="shared" si="6"/>
        <v>8</v>
      </c>
      <c r="M22" s="25">
        <f t="shared" si="6"/>
        <v>9</v>
      </c>
    </row>
    <row r="23" spans="1:13" x14ac:dyDescent="0.25">
      <c r="A23" s="5" t="s">
        <v>186</v>
      </c>
      <c r="D23" s="44">
        <f>1/(1+Hipótesis!$B$22)^D22</f>
        <v>0.97875335166361443</v>
      </c>
      <c r="E23" s="44">
        <f>1/(1+Hipótesis!$B$22)^E22</f>
        <v>0.91768376617417624</v>
      </c>
      <c r="F23" s="44">
        <f>1/(1+Hipótesis!$B$22)^F22</f>
        <v>0.84214349469962013</v>
      </c>
      <c r="G23" s="44">
        <f>1/(1+Hipótesis!$B$22)^G22</f>
        <v>0.77282141387503001</v>
      </c>
      <c r="H23" s="44">
        <f>1/(1+Hipótesis!$B$22)^H22</f>
        <v>0.70920566566488918</v>
      </c>
      <c r="I23" s="44">
        <f>1/(1+Hipótesis!$B$22)^I22</f>
        <v>0.65082652625941928</v>
      </c>
      <c r="J23" s="44">
        <f>1/(1+Hipótesis!$B$22)^J22</f>
        <v>0.59725293774380017</v>
      </c>
      <c r="K23" s="44">
        <f>1/(1+Hipótesis!$B$22)^K22</f>
        <v>0.54808932526732146</v>
      </c>
      <c r="L23" s="44">
        <f>1/(1+Hipótesis!$B$22)^L22</f>
        <v>0.50297267621117858</v>
      </c>
      <c r="M23" s="44">
        <f>1/(1+Hipótesis!$B$22)^M22</f>
        <v>0.46156985978817883</v>
      </c>
    </row>
    <row r="24" spans="1:13" x14ac:dyDescent="0.25">
      <c r="A24" s="9" t="s">
        <v>187</v>
      </c>
      <c r="D24" s="32">
        <f t="shared" ref="D24:M24" si="7">D21*D23</f>
        <v>2709.3551393947419</v>
      </c>
      <c r="E24" s="32">
        <f t="shared" si="7"/>
        <v>5962.004938744607</v>
      </c>
      <c r="F24" s="32">
        <f t="shared" si="7"/>
        <v>5893.7781361878478</v>
      </c>
      <c r="G24" s="32">
        <f t="shared" si="7"/>
        <v>5798.0902209665956</v>
      </c>
      <c r="H24" s="32">
        <f t="shared" si="7"/>
        <v>5676.1998377900936</v>
      </c>
      <c r="I24" s="32">
        <f t="shared" si="7"/>
        <v>5455.0862535297847</v>
      </c>
      <c r="J24" s="32">
        <f t="shared" si="7"/>
        <v>5217.4540064197554</v>
      </c>
      <c r="K24" s="32">
        <f t="shared" si="7"/>
        <v>4966.1347039992888</v>
      </c>
      <c r="L24" s="32">
        <f t="shared" si="7"/>
        <v>4704.0390007725782</v>
      </c>
      <c r="M24" s="32">
        <f t="shared" si="7"/>
        <v>4434.0999041386822</v>
      </c>
    </row>
    <row r="26" spans="1:13" x14ac:dyDescent="0.25">
      <c r="A26" s="3" t="s">
        <v>188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5" t="s">
        <v>189</v>
      </c>
      <c r="C27" s="27">
        <f>SUM(D24:M24)</f>
        <v>50816.242141943978</v>
      </c>
    </row>
    <row r="28" spans="1:13" x14ac:dyDescent="0.25">
      <c r="A28" s="5" t="s">
        <v>190</v>
      </c>
      <c r="C28" s="27">
        <f>M17</f>
        <v>9606.5629288999844</v>
      </c>
    </row>
    <row r="29" spans="1:13" x14ac:dyDescent="0.25">
      <c r="A29" s="5" t="s">
        <v>191</v>
      </c>
      <c r="C29" s="27">
        <f>C28*(1+Hipótesis!B23)/(Hipótesis!B22-Hipótesis!B23)</f>
        <v>152190.52553512336</v>
      </c>
    </row>
    <row r="30" spans="1:13" x14ac:dyDescent="0.25">
      <c r="A30" s="5" t="s">
        <v>192</v>
      </c>
      <c r="C30" s="44">
        <f>M23</f>
        <v>0.46156985978817883</v>
      </c>
    </row>
    <row r="31" spans="1:13" x14ac:dyDescent="0.25">
      <c r="A31" s="5" t="s">
        <v>193</v>
      </c>
      <c r="C31" s="27">
        <f>C29*C30</f>
        <v>70246.559532336134</v>
      </c>
    </row>
    <row r="32" spans="1:13" x14ac:dyDescent="0.25">
      <c r="A32" s="9" t="s">
        <v>194</v>
      </c>
      <c r="C32" s="32">
        <f>C27+C31</f>
        <v>121062.80167428011</v>
      </c>
    </row>
    <row r="33" spans="1:13" x14ac:dyDescent="0.25">
      <c r="A33" s="5" t="s">
        <v>195</v>
      </c>
      <c r="C33" s="42">
        <f>Hipótesis!B29</f>
        <v>10398</v>
      </c>
    </row>
    <row r="34" spans="1:13" x14ac:dyDescent="0.25">
      <c r="A34" s="5" t="s">
        <v>196</v>
      </c>
      <c r="C34" s="42">
        <f>Hipótesis!B30</f>
        <v>0</v>
      </c>
    </row>
    <row r="35" spans="1:13" x14ac:dyDescent="0.25">
      <c r="A35" s="5" t="s">
        <v>197</v>
      </c>
      <c r="C35" s="27">
        <f>-Hipótesis!B31</f>
        <v>0</v>
      </c>
    </row>
    <row r="36" spans="1:13" x14ac:dyDescent="0.25">
      <c r="A36" s="9" t="s">
        <v>198</v>
      </c>
      <c r="C36" s="32">
        <f>SUM(C32:C35)</f>
        <v>131460.80167428011</v>
      </c>
    </row>
    <row r="37" spans="1:13" x14ac:dyDescent="0.25">
      <c r="A37" s="5" t="s">
        <v>199</v>
      </c>
      <c r="C37" s="45">
        <f>Hipótesis!B10</f>
        <v>3115.9215389999999</v>
      </c>
    </row>
    <row r="38" spans="1:13" x14ac:dyDescent="0.25">
      <c r="A38" s="5" t="s">
        <v>200</v>
      </c>
      <c r="C38" s="46">
        <f>C36/C37</f>
        <v>42.190023089114796</v>
      </c>
    </row>
    <row r="39" spans="1:13" x14ac:dyDescent="0.25">
      <c r="A39" s="5" t="s">
        <v>201</v>
      </c>
      <c r="C39" s="44">
        <f>(1+Hipótesis!B22)^(Hipótesis!B12/365)</f>
        <v>1.0161324859350607</v>
      </c>
    </row>
    <row r="40" spans="1:13" x14ac:dyDescent="0.25">
      <c r="A40" s="9" t="s">
        <v>202</v>
      </c>
      <c r="C40" s="47">
        <f>C38*C39</f>
        <v>42.870653043199823</v>
      </c>
    </row>
    <row r="41" spans="1:13" x14ac:dyDescent="0.25">
      <c r="A41" s="5" t="s">
        <v>21</v>
      </c>
      <c r="C41" s="20">
        <f>Hipótesis!B9</f>
        <v>54.38</v>
      </c>
    </row>
    <row r="42" spans="1:13" x14ac:dyDescent="0.25">
      <c r="A42" s="9" t="s">
        <v>203</v>
      </c>
      <c r="C42" s="38">
        <f>C40/C41-1</f>
        <v>-0.21164668916513751</v>
      </c>
    </row>
    <row r="44" spans="1:13" x14ac:dyDescent="0.25">
      <c r="A44" s="3" t="s">
        <v>204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s="5" t="s">
        <v>11</v>
      </c>
      <c r="C45" s="39">
        <f>C31/C32</f>
        <v>0.58024891676747037</v>
      </c>
    </row>
    <row r="46" spans="1:13" x14ac:dyDescent="0.25">
      <c r="A46" s="5" t="s">
        <v>205</v>
      </c>
      <c r="C46" s="48">
        <f>C32/(D10+D11)</f>
        <v>11.970419733981634</v>
      </c>
    </row>
    <row r="47" spans="1:13" x14ac:dyDescent="0.25">
      <c r="A47" s="5" t="s">
        <v>206</v>
      </c>
      <c r="C47" s="48">
        <f>C29/(M10+M11)</f>
        <v>9.7068442589803841</v>
      </c>
    </row>
    <row r="48" spans="1:13" x14ac:dyDescent="0.25">
      <c r="A48" s="5" t="s">
        <v>207</v>
      </c>
      <c r="C48" s="48">
        <f>(Hipótesis!B11-Hipótesis!B29-Hipótesis!B30+Hipótesis!B31)/(D10+D11)</f>
        <v>15.726095181126668</v>
      </c>
    </row>
    <row r="49" spans="1:3" x14ac:dyDescent="0.25">
      <c r="A49" s="5" t="s">
        <v>208</v>
      </c>
      <c r="C49" s="49" t="str">
        <f>IF(Hipótesis!B23&lt;Hipótesis!B15,"OK","REVISAR")</f>
        <v>OK</v>
      </c>
    </row>
    <row r="50" spans="1:3" x14ac:dyDescent="0.25">
      <c r="A50" s="5" t="s">
        <v>209</v>
      </c>
      <c r="C50" s="49" t="str">
        <f>IF(Hipótesis!B22&gt;Hipótesis!B23,"OK","REVISAR")</f>
        <v>OK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/>
  </sheetViews>
  <sheetFormatPr baseColWidth="10" defaultColWidth="9.140625" defaultRowHeight="15" x14ac:dyDescent="0.25"/>
  <cols>
    <col min="1" max="1" width="24" customWidth="1"/>
    <col min="2" max="6" width="12" customWidth="1"/>
  </cols>
  <sheetData>
    <row r="1" spans="1:6" ht="18" x14ac:dyDescent="0.25">
      <c r="A1" s="1" t="s">
        <v>210</v>
      </c>
    </row>
    <row r="2" spans="1:6" x14ac:dyDescent="0.25">
      <c r="A2" s="2" t="s">
        <v>211</v>
      </c>
    </row>
    <row r="4" spans="1:6" x14ac:dyDescent="0.25">
      <c r="A4" s="5" t="s">
        <v>212</v>
      </c>
      <c r="B4" s="16">
        <v>5.0000000000000001E-3</v>
      </c>
    </row>
    <row r="5" spans="1:6" x14ac:dyDescent="0.25">
      <c r="A5" s="5" t="s">
        <v>213</v>
      </c>
      <c r="B5" s="16">
        <v>5.0000000000000001E-3</v>
      </c>
    </row>
    <row r="7" spans="1:6" x14ac:dyDescent="0.25">
      <c r="A7" s="9" t="s">
        <v>8</v>
      </c>
    </row>
    <row r="8" spans="1:6" x14ac:dyDescent="0.25">
      <c r="A8" s="2" t="s">
        <v>214</v>
      </c>
      <c r="B8" s="50">
        <f>Hipótesis!$B$23+(0-2)*$B$5</f>
        <v>1.5000000000000001E-2</v>
      </c>
      <c r="C8" s="50">
        <f>Hipótesis!$B$23+(1-2)*$B$5</f>
        <v>0.02</v>
      </c>
      <c r="D8" s="50">
        <f>Hipótesis!$B$23+(2-2)*$B$5</f>
        <v>2.5000000000000001E-2</v>
      </c>
      <c r="E8" s="50">
        <f>Hipótesis!$B$23+(3-2)*$B$5</f>
        <v>3.0000000000000002E-2</v>
      </c>
      <c r="F8" s="50">
        <f>Hipótesis!$B$23+(4-2)*$B$5</f>
        <v>3.5000000000000003E-2</v>
      </c>
    </row>
    <row r="9" spans="1:6" x14ac:dyDescent="0.25">
      <c r="A9" s="50">
        <f>Hipótesis!$B$22+(0-3)*$B$4</f>
        <v>7.4700000000000003E-2</v>
      </c>
      <c r="B9" s="46">
        <f>((SUMPRODUCT(DCF!$D$21:$M$21,(1+$A9)^(-DCF!$D$22:$M$22))+DCF!$M$17*(1+B$8)/($A9-B$8)*(1+$A9)^(-DCF!$M$22)+Hipótesis!$B$29+Hipótesis!$B$30-Hipótesis!$B$31)/Hipótesis!$B$10*(1+$A9)^(Hipótesis!$B$12/365))</f>
        <v>48.769585337662662</v>
      </c>
      <c r="C9" s="46">
        <f>((SUMPRODUCT(DCF!$D$21:$M$21,(1+$A9)^(-DCF!$D$22:$M$22))+DCF!$M$17*(1+C$8)/($A9-C$8)*(1+$A9)^(-DCF!$M$22)+Hipótesis!$B$29+Hipótesis!$B$30-Hipótesis!$B$31)/Hipótesis!$B$10*(1+$A9)^(Hipótesis!$B$12/365))</f>
        <v>51.45815152144791</v>
      </c>
      <c r="D9" s="46">
        <f>((SUMPRODUCT(DCF!$D$21:$M$21,(1+$A9)^(-DCF!$D$22:$M$22))+DCF!$M$17*(1+D$8)/($A9-D$8)*(1+$A9)^(-DCF!$M$22)+Hipótesis!$B$29+Hipótesis!$B$30-Hipótesis!$B$31)/Hipótesis!$B$10*(1+$A9)^(Hipótesis!$B$12/365))</f>
        <v>54.6876766959344</v>
      </c>
      <c r="E9" s="46">
        <f>((SUMPRODUCT(DCF!$D$21:$M$21,(1+$A9)^(-DCF!$D$22:$M$22))+DCF!$M$17*(1+E$8)/($A9-E$8)*(1+$A9)^(-DCF!$M$22)+Hipótesis!$B$29+Hipótesis!$B$30-Hipótesis!$B$31)/Hipótesis!$B$10*(1+$A9)^(Hipótesis!$B$12/365))</f>
        <v>58.639690723773583</v>
      </c>
      <c r="F9" s="46">
        <f>((SUMPRODUCT(DCF!$D$21:$M$21,(1+$A9)^(-DCF!$D$22:$M$22))+DCF!$M$17*(1+F$8)/($A9-F$8)*(1+$A9)^(-DCF!$M$22)+Hipótesis!$B$29+Hipótesis!$B$30-Hipótesis!$B$31)/Hipótesis!$B$10*(1+$A9)^(Hipótesis!$B$12/365))</f>
        <v>63.587174280035747</v>
      </c>
    </row>
    <row r="10" spans="1:6" x14ac:dyDescent="0.25">
      <c r="A10" s="50">
        <f>Hipótesis!$B$22+(1-3)*$B$4</f>
        <v>7.9700000000000007E-2</v>
      </c>
      <c r="B10" s="46">
        <f>((SUMPRODUCT(DCF!$D$21:$M$21,(1+$A10)^(-DCF!$D$22:$M$22))+DCF!$M$17*(1+B$8)/($A10-B$8)*(1+$A10)^(-DCF!$M$22)+Hipótesis!$B$29+Hipótesis!$B$30-Hipótesis!$B$31)/Hipótesis!$B$10*(1+$A10)^(Hipótesis!$B$12/365))</f>
        <v>45.24142466505473</v>
      </c>
      <c r="C10" s="46">
        <f>((SUMPRODUCT(DCF!$D$21:$M$21,(1+$A10)^(-DCF!$D$22:$M$22))+DCF!$M$17*(1+C$8)/($A10-C$8)*(1+$A10)^(-DCF!$M$22)+Hipótesis!$B$29+Hipótesis!$B$30-Hipótesis!$B$31)/Hipótesis!$B$10*(1+$A10)^(Hipótesis!$B$12/365))</f>
        <v>47.433485050557422</v>
      </c>
      <c r="D10" s="46">
        <f>((SUMPRODUCT(DCF!$D$21:$M$21,(1+$A10)^(-DCF!$D$22:$M$22))+DCF!$M$17*(1+D$8)/($A10-D$8)*(1+$A10)^(-DCF!$M$22)+Hipótesis!$B$29+Hipótesis!$B$30-Hipótesis!$B$31)/Hipótesis!$B$10*(1+$A10)^(Hipótesis!$B$12/365))</f>
        <v>50.026287736883241</v>
      </c>
      <c r="E10" s="46">
        <f>((SUMPRODUCT(DCF!$D$21:$M$21,(1+$A10)^(-DCF!$D$22:$M$22))+DCF!$M$17*(1+E$8)/($A10-E$8)*(1+$A10)^(-DCF!$M$22)+Hipótesis!$B$29+Hipótesis!$B$30-Hipótesis!$B$31)/Hipótesis!$B$10*(1+$A10)^(Hipótesis!$B$12/365))</f>
        <v>53.140781104562357</v>
      </c>
      <c r="F10" s="46">
        <f>((SUMPRODUCT(DCF!$D$21:$M$21,(1+$A10)^(-DCF!$D$22:$M$22))+DCF!$M$17*(1+F$8)/($A10-F$8)*(1+$A10)^(-DCF!$M$22)+Hipótesis!$B$29+Hipótesis!$B$30-Hipótesis!$B$31)/Hipótesis!$B$10*(1+$A10)^(Hipótesis!$B$12/365))</f>
        <v>56.952029140626074</v>
      </c>
    </row>
    <row r="11" spans="1:6" x14ac:dyDescent="0.25">
      <c r="A11" s="50">
        <f>Hipótesis!$B$22+(2-3)*$B$4</f>
        <v>8.4699999999999998E-2</v>
      </c>
      <c r="B11" s="46">
        <f>((SUMPRODUCT(DCF!$D$21:$M$21,(1+$A11)^(-DCF!$D$22:$M$22))+DCF!$M$17*(1+B$8)/($A11-B$8)*(1+$A11)^(-DCF!$M$22)+Hipótesis!$B$29+Hipótesis!$B$30-Hipótesis!$B$31)/Hipótesis!$B$10*(1+$A11)^(Hipótesis!$B$12/365))</f>
        <v>42.222474596833777</v>
      </c>
      <c r="C11" s="46">
        <f>((SUMPRODUCT(DCF!$D$21:$M$21,(1+$A11)^(-DCF!$D$22:$M$22))+DCF!$M$17*(1+C$8)/($A11-C$8)*(1+$A11)^(-DCF!$M$22)+Hipótesis!$B$29+Hipótesis!$B$30-Hipótesis!$B$31)/Hipótesis!$B$10*(1+$A11)^(Hipótesis!$B$12/365))</f>
        <v>44.033462616584622</v>
      </c>
      <c r="D11" s="46">
        <f>((SUMPRODUCT(DCF!$D$21:$M$21,(1+$A11)^(-DCF!$D$22:$M$22))+DCF!$M$17*(1+D$8)/($A11-D$8)*(1+$A11)^(-DCF!$M$22)+Hipótesis!$B$29+Hipótesis!$B$30-Hipótesis!$B$31)/Hipótesis!$B$10*(1+$A11)^(Hipótesis!$B$12/365))</f>
        <v>46.147798713345637</v>
      </c>
      <c r="E11" s="46">
        <f>((SUMPRODUCT(DCF!$D$21:$M$21,(1+$A11)^(-DCF!$D$22:$M$22))+DCF!$M$17*(1+E$8)/($A11-E$8)*(1+$A11)^(-DCF!$M$22)+Hipótesis!$B$29+Hipótesis!$B$30-Hipótesis!$B$31)/Hipótesis!$B$10*(1+$A11)^(Hipótesis!$B$12/365))</f>
        <v>48.64866791737559</v>
      </c>
      <c r="F11" s="46">
        <f>((SUMPRODUCT(DCF!$D$21:$M$21,(1+$A11)^(-DCF!$D$22:$M$22))+DCF!$M$17*(1+F$8)/($A11-F$8)*(1+$A11)^(-DCF!$M$22)+Hipótesis!$B$29+Hipótesis!$B$30-Hipótesis!$B$31)/Hipótesis!$B$10*(1+$A11)^(Hipótesis!$B$12/365))</f>
        <v>51.652730120204332</v>
      </c>
    </row>
    <row r="12" spans="1:6" x14ac:dyDescent="0.25">
      <c r="A12" s="50">
        <f>Hipótesis!$B$22+(3-3)*$B$4</f>
        <v>8.9700000000000002E-2</v>
      </c>
      <c r="B12" s="46">
        <f>((SUMPRODUCT(DCF!$D$21:$M$21,(1+$A12)^(-DCF!$D$22:$M$22))+DCF!$M$17*(1+B$8)/($A12-B$8)*(1+$A12)^(-DCF!$M$22)+Hipótesis!$B$29+Hipótesis!$B$30-Hipótesis!$B$31)/Hipótesis!$B$10*(1+$A12)^(Hipótesis!$B$12/365))</f>
        <v>39.610399578722522</v>
      </c>
      <c r="C12" s="46">
        <f>((SUMPRODUCT(DCF!$D$21:$M$21,(1+$A12)^(-DCF!$D$22:$M$22))+DCF!$M$17*(1+C$8)/($A12-C$8)*(1+$A12)^(-DCF!$M$22)+Hipótesis!$B$29+Hipótesis!$B$30-Hipótesis!$B$31)/Hipótesis!$B$10*(1+$A12)^(Hipótesis!$B$12/365))</f>
        <v>41.123587520987094</v>
      </c>
      <c r="D12" s="46">
        <f>((SUMPRODUCT(DCF!$D$21:$M$21,(1+$A12)^(-DCF!$D$22:$M$22))+DCF!$M$17*(1+D$8)/($A12-D$8)*(1+$A12)^(-DCF!$M$22)+Hipótesis!$B$29+Hipótesis!$B$30-Hipótesis!$B$31)/Hipótesis!$B$10*(1+$A12)^(Hipótesis!$B$12/365))</f>
        <v>42.870653043199823</v>
      </c>
      <c r="E12" s="46">
        <f>((SUMPRODUCT(DCF!$D$21:$M$21,(1+$A12)^(-DCF!$D$22:$M$22))+DCF!$M$17*(1+E$8)/($A12-E$8)*(1+$A12)^(-DCF!$M$22)+Hipótesis!$B$29+Hipótesis!$B$30-Hipótesis!$B$31)/Hipótesis!$B$10*(1+$A12)^(Hipótesis!$B$12/365))</f>
        <v>44.910359356402978</v>
      </c>
      <c r="F12" s="46">
        <f>((SUMPRODUCT(DCF!$D$21:$M$21,(1+$A12)^(-DCF!$D$22:$M$22))+DCF!$M$17*(1+F$8)/($A12-F$8)*(1+$A12)^(-DCF!$M$22)+Hipótesis!$B$29+Hipótesis!$B$30-Hipótesis!$B$31)/Hipótesis!$B$10*(1+$A12)^(Hipótesis!$B$12/365))</f>
        <v>47.32295530638914</v>
      </c>
    </row>
    <row r="13" spans="1:6" x14ac:dyDescent="0.25">
      <c r="A13" s="50">
        <f>Hipótesis!$B$22+(4-3)*$B$4</f>
        <v>9.4700000000000006E-2</v>
      </c>
      <c r="B13" s="46">
        <f>((SUMPRODUCT(DCF!$D$21:$M$21,(1+$A13)^(-DCF!$D$22:$M$22))+DCF!$M$17*(1+B$8)/($A13-B$8)*(1+$A13)^(-DCF!$M$22)+Hipótesis!$B$29+Hipótesis!$B$30-Hipótesis!$B$31)/Hipótesis!$B$10*(1+$A13)^(Hipótesis!$B$12/365))</f>
        <v>37.328547313436395</v>
      </c>
      <c r="C13" s="46">
        <f>((SUMPRODUCT(DCF!$D$21:$M$21,(1+$A13)^(-DCF!$D$22:$M$22))+DCF!$M$17*(1+C$8)/($A13-C$8)*(1+$A13)^(-DCF!$M$22)+Hipótesis!$B$29+Hipótesis!$B$30-Hipótesis!$B$31)/Hipótesis!$B$10*(1+$A13)^(Hipótesis!$B$12/365))</f>
        <v>38.605375288619832</v>
      </c>
      <c r="D13" s="46">
        <f>((SUMPRODUCT(DCF!$D$21:$M$21,(1+$A13)^(-DCF!$D$22:$M$22))+DCF!$M$17*(1+D$8)/($A13-D$8)*(1+$A13)^(-DCF!$M$22)+Hipótesis!$B$29+Hipótesis!$B$30-Hipótesis!$B$31)/Hipótesis!$B$10*(1+$A13)^(Hipótesis!$B$12/365))</f>
        <v>40.065392356369031</v>
      </c>
      <c r="E13" s="46">
        <f>((SUMPRODUCT(DCF!$D$21:$M$21,(1+$A13)^(-DCF!$D$22:$M$22))+DCF!$M$17*(1+E$8)/($A13-E$8)*(1+$A13)^(-DCF!$M$22)+Hipótesis!$B$29+Hipótesis!$B$30-Hipótesis!$B$31)/Hipótesis!$B$10*(1+$A13)^(Hipótesis!$B$12/365))</f>
        <v>41.751068939999108</v>
      </c>
      <c r="F13" s="46">
        <f>((SUMPRODUCT(DCF!$D$21:$M$21,(1+$A13)^(-DCF!$D$22:$M$22))+DCF!$M$17*(1+F$8)/($A13-F$8)*(1+$A13)^(-DCF!$M$22)+Hipótesis!$B$29+Hipótesis!$B$30-Hipótesis!$B$31)/Hipótesis!$B$10*(1+$A13)^(Hipótesis!$B$12/365))</f>
        <v>43.719103410334391</v>
      </c>
    </row>
    <row r="14" spans="1:6" x14ac:dyDescent="0.25">
      <c r="A14" s="50">
        <f>Hipótesis!$B$22+(5-3)*$B$4</f>
        <v>9.9699999999999997E-2</v>
      </c>
      <c r="B14" s="46">
        <f>((SUMPRODUCT(DCF!$D$21:$M$21,(1+$A14)^(-DCF!$D$22:$M$22))+DCF!$M$17*(1+B$8)/($A14-B$8)*(1+$A14)^(-DCF!$M$22)+Hipótesis!$B$29+Hipótesis!$B$30-Hipótesis!$B$31)/Hipótesis!$B$10*(1+$A14)^(Hipótesis!$B$12/365))</f>
        <v>35.318367976630732</v>
      </c>
      <c r="C14" s="46">
        <f>((SUMPRODUCT(DCF!$D$21:$M$21,(1+$A14)^(-DCF!$D$22:$M$22))+DCF!$M$17*(1+C$8)/($A14-C$8)*(1+$A14)^(-DCF!$M$22)+Hipótesis!$B$29+Hipótesis!$B$30-Hipótesis!$B$31)/Hipótesis!$B$10*(1+$A14)^(Hipótesis!$B$12/365))</f>
        <v>36.405057388460079</v>
      </c>
      <c r="D14" s="46">
        <f>((SUMPRODUCT(DCF!$D$21:$M$21,(1+$A14)^(-DCF!$D$22:$M$22))+DCF!$M$17*(1+D$8)/($A14-D$8)*(1+$A14)^(-DCF!$M$22)+Hipótesis!$B$29+Hipótesis!$B$30-Hipótesis!$B$31)/Hipótesis!$B$10*(1+$A14)^(Hipótesis!$B$12/365))</f>
        <v>37.637220617134048</v>
      </c>
      <c r="E14" s="46">
        <f>((SUMPRODUCT(DCF!$D$21:$M$21,(1+$A14)^(-DCF!$D$22:$M$22))+DCF!$M$17*(1+E$8)/($A14-E$8)*(1+$A14)^(-DCF!$M$22)+Hipótesis!$B$29+Hipótesis!$B$30-Hipótesis!$B$31)/Hipótesis!$B$10*(1+$A14)^(Hipótesis!$B$12/365))</f>
        <v>39.046164796837289</v>
      </c>
      <c r="F14" s="46">
        <f>((SUMPRODUCT(DCF!$D$21:$M$21,(1+$A14)^(-DCF!$D$22:$M$22))+DCF!$M$17*(1+F$8)/($A14-F$8)*(1+$A14)^(-DCF!$M$22)+Hipótesis!$B$29+Hipótesis!$B$30-Hipótesis!$B$31)/Hipótesis!$B$10*(1+$A14)^(Hipótesis!$B$12/365))</f>
        <v>40.672874692105161</v>
      </c>
    </row>
    <row r="15" spans="1:6" x14ac:dyDescent="0.25">
      <c r="A15" s="50">
        <f>Hipótesis!$B$22+(6-3)*$B$4</f>
        <v>0.1047</v>
      </c>
      <c r="B15" s="46">
        <f>((SUMPRODUCT(DCF!$D$21:$M$21,(1+$A15)^(-DCF!$D$22:$M$22))+DCF!$M$17*(1+B$8)/($A15-B$8)*(1+$A15)^(-DCF!$M$22)+Hipótesis!$B$29+Hipótesis!$B$30-Hipótesis!$B$31)/Hipótesis!$B$10*(1+$A15)^(Hipótesis!$B$12/365))</f>
        <v>33.534368818300123</v>
      </c>
      <c r="C15" s="46">
        <f>((SUMPRODUCT(DCF!$D$21:$M$21,(1+$A15)^(-DCF!$D$22:$M$22))+DCF!$M$17*(1+C$8)/($A15-C$8)*(1+$A15)^(-DCF!$M$22)+Hipótesis!$B$29+Hipótesis!$B$30-Hipótesis!$B$31)/Hipótesis!$B$10*(1+$A15)^(Hipótesis!$B$12/365))</f>
        <v>34.466286002362324</v>
      </c>
      <c r="D15" s="46">
        <f>((SUMPRODUCT(DCF!$D$21:$M$21,(1+$A15)^(-DCF!$D$22:$M$22))+DCF!$M$17*(1+D$8)/($A15-D$8)*(1+$A15)^(-DCF!$M$22)+Hipótesis!$B$29+Hipótesis!$B$30-Hipótesis!$B$31)/Hipótesis!$B$10*(1+$A15)^(Hipótesis!$B$12/365))</f>
        <v>35.515131314914129</v>
      </c>
      <c r="E15" s="46">
        <f>((SUMPRODUCT(DCF!$D$21:$M$21,(1+$A15)^(-DCF!$D$22:$M$22))+DCF!$M$17*(1+E$8)/($A15-E$8)*(1+$A15)^(-DCF!$M$22)+Hipótesis!$B$29+Hipótesis!$B$30-Hipótesis!$B$31)/Hipótesis!$B$10*(1+$A15)^(Hipótesis!$B$12/365))</f>
        <v>36.704384299828966</v>
      </c>
      <c r="F15" s="46">
        <f>((SUMPRODUCT(DCF!$D$21:$M$21,(1+$A15)^(-DCF!$D$22:$M$22))+DCF!$M$17*(1+F$8)/($A15-F$8)*(1+$A15)^(-DCF!$M$22)+Hipótesis!$B$29+Hipótesis!$B$30-Hipótesis!$B$31)/Hipótesis!$B$10*(1+$A15)^(Hipótesis!$B$12/365))</f>
        <v>38.064261816295421</v>
      </c>
    </row>
    <row r="18" spans="1:6" x14ac:dyDescent="0.25">
      <c r="A18" s="9" t="s">
        <v>203</v>
      </c>
    </row>
    <row r="19" spans="1:6" x14ac:dyDescent="0.25">
      <c r="A19" s="2" t="s">
        <v>214</v>
      </c>
      <c r="B19" s="50">
        <f>Hipótesis!$B$23+(0-2)*$B$5</f>
        <v>1.5000000000000001E-2</v>
      </c>
      <c r="C19" s="50">
        <f>Hipótesis!$B$23+(1-2)*$B$5</f>
        <v>0.02</v>
      </c>
      <c r="D19" s="50">
        <f>Hipótesis!$B$23+(2-2)*$B$5</f>
        <v>2.5000000000000001E-2</v>
      </c>
      <c r="E19" s="50">
        <f>Hipótesis!$B$23+(3-2)*$B$5</f>
        <v>3.0000000000000002E-2</v>
      </c>
      <c r="F19" s="50">
        <f>Hipótesis!$B$23+(4-2)*$B$5</f>
        <v>3.5000000000000003E-2</v>
      </c>
    </row>
    <row r="20" spans="1:6" x14ac:dyDescent="0.25">
      <c r="A20" s="50">
        <f>Hipótesis!$B$22+(0-3)*$B$4</f>
        <v>7.4700000000000003E-2</v>
      </c>
      <c r="B20" s="39">
        <f>((SUMPRODUCT(DCF!$D$21:$M$21,(1+$A20)^(-DCF!$D$22:$M$22))+DCF!$M$17*(1+B$19)/($A20-B$19)*(1+$A20)^(-DCF!$M$22)+Hipótesis!$B$29+Hipótesis!$B$30-Hipótesis!$B$31)/Hipótesis!$B$10*(1+$A20)^(Hipótesis!$B$12/365))/Hipótesis!$B$9-1</f>
        <v>-0.10317055281973775</v>
      </c>
      <c r="C20" s="39">
        <f>((SUMPRODUCT(DCF!$D$21:$M$21,(1+$A20)^(-DCF!$D$22:$M$22))+DCF!$M$17*(1+C$19)/($A20-C$19)*(1+$A20)^(-DCF!$M$22)+Hipótesis!$B$29+Hipótesis!$B$30-Hipótesis!$B$31)/Hipótesis!$B$10*(1+$A20)^(Hipótesis!$B$12/365))/Hipótesis!$B$9-1</f>
        <v>-5.3730203724753456E-2</v>
      </c>
      <c r="D20" s="39">
        <f>((SUMPRODUCT(DCF!$D$21:$M$21,(1+$A20)^(-DCF!$D$22:$M$22))+DCF!$M$17*(1+D$19)/($A20-D$19)*(1+$A20)^(-DCF!$M$22)+Hipótesis!$B$29+Hipótesis!$B$30-Hipótesis!$B$31)/Hipótesis!$B$10*(1+$A20)^(Hipótesis!$B$12/365))/Hipótesis!$B$9-1</f>
        <v>5.6579017273703514E-3</v>
      </c>
      <c r="E20" s="39">
        <f>((SUMPRODUCT(DCF!$D$21:$M$21,(1+$A20)^(-DCF!$D$22:$M$22))+DCF!$M$17*(1+E$19)/($A20-E$19)*(1+$A20)^(-DCF!$M$22)+Hipótesis!$B$29+Hipótesis!$B$30-Hipótesis!$B$31)/Hipótesis!$B$10*(1+$A20)^(Hipótesis!$B$12/365))/Hipótesis!$B$9-1</f>
        <v>7.833193681084194E-2</v>
      </c>
      <c r="F20" s="39">
        <f>((SUMPRODUCT(DCF!$D$21:$M$21,(1+$A20)^(-DCF!$D$22:$M$22))+DCF!$M$17*(1+F$19)/($A20-F$19)*(1+$A20)^(-DCF!$M$22)+Hipótesis!$B$29+Hipótesis!$B$30-Hipótesis!$B$31)/Hipótesis!$B$10*(1+$A20)^(Hipótesis!$B$12/365))/Hipótesis!$B$9-1</f>
        <v>0.16931177418234178</v>
      </c>
    </row>
    <row r="21" spans="1:6" x14ac:dyDescent="0.25">
      <c r="A21" s="50">
        <f>Hipótesis!$B$22+(1-3)*$B$4</f>
        <v>7.9700000000000007E-2</v>
      </c>
      <c r="B21" s="39">
        <f>((SUMPRODUCT(DCF!$D$21:$M$21,(1+$A21)^(-DCF!$D$22:$M$22))+DCF!$M$17*(1+B$19)/($A21-B$19)*(1+$A21)^(-DCF!$M$22)+Hipótesis!$B$29+Hipótesis!$B$30-Hipótesis!$B$31)/Hipótesis!$B$10*(1+$A21)^(Hipótesis!$B$12/365))/Hipótesis!$B$9-1</f>
        <v>-0.168050300385165</v>
      </c>
      <c r="C21" s="39">
        <f>((SUMPRODUCT(DCF!$D$21:$M$21,(1+$A21)^(-DCF!$D$22:$M$22))+DCF!$M$17*(1+C$19)/($A21-C$19)*(1+$A21)^(-DCF!$M$22)+Hipótesis!$B$29+Hipótesis!$B$30-Hipótesis!$B$31)/Hipótesis!$B$10*(1+$A21)^(Hipótesis!$B$12/365))/Hipótesis!$B$9-1</f>
        <v>-0.12774025284006219</v>
      </c>
      <c r="D21" s="39">
        <f>((SUMPRODUCT(DCF!$D$21:$M$21,(1+$A21)^(-DCF!$D$22:$M$22))+DCF!$M$17*(1+D$19)/($A21-D$19)*(1+$A21)^(-DCF!$M$22)+Hipótesis!$B$29+Hipótesis!$B$30-Hipótesis!$B$31)/Hipótesis!$B$10*(1+$A21)^(Hipótesis!$B$12/365))/Hipótesis!$B$9-1</f>
        <v>-8.0060909582875373E-2</v>
      </c>
      <c r="E21" s="39">
        <f>((SUMPRODUCT(DCF!$D$21:$M$21,(1+$A21)^(-DCF!$D$22:$M$22))+DCF!$M$17*(1+E$19)/($A21-E$19)*(1+$A21)^(-DCF!$M$22)+Hipótesis!$B$29+Hipótesis!$B$30-Hipótesis!$B$31)/Hipótesis!$B$10*(1+$A21)^(Hipótesis!$B$12/365))/Hipótesis!$B$9-1</f>
        <v>-2.278813709889016E-2</v>
      </c>
      <c r="F21" s="39">
        <f>((SUMPRODUCT(DCF!$D$21:$M$21,(1+$A21)^(-DCF!$D$22:$M$22))+DCF!$M$17*(1+F$19)/($A21-F$19)*(1+$A21)^(-DCF!$M$22)+Hipótesis!$B$29+Hipótesis!$B$30-Hipótesis!$B$31)/Hipótesis!$B$10*(1+$A21)^(Hipótesis!$B$12/365))/Hipótesis!$B$9-1</f>
        <v>4.7297336164510373E-2</v>
      </c>
    </row>
    <row r="22" spans="1:6" x14ac:dyDescent="0.25">
      <c r="A22" s="50">
        <f>Hipótesis!$B$22+(2-3)*$B$4</f>
        <v>8.4699999999999998E-2</v>
      </c>
      <c r="B22" s="39">
        <f>((SUMPRODUCT(DCF!$D$21:$M$21,(1+$A22)^(-DCF!$D$22:$M$22))+DCF!$M$17*(1+B$19)/($A22-B$19)*(1+$A22)^(-DCF!$M$22)+Hipótesis!$B$29+Hipótesis!$B$30-Hipótesis!$B$31)/Hipótesis!$B$10*(1+$A22)^(Hipótesis!$B$12/365))/Hipótesis!$B$9-1</f>
        <v>-0.22356611627742229</v>
      </c>
      <c r="C22" s="39">
        <f>((SUMPRODUCT(DCF!$D$21:$M$21,(1+$A22)^(-DCF!$D$22:$M$22))+DCF!$M$17*(1+C$19)/($A22-C$19)*(1+$A22)^(-DCF!$M$22)+Hipótesis!$B$29+Hipótesis!$B$30-Hipótesis!$B$31)/Hipótesis!$B$10*(1+$A22)^(Hipótesis!$B$12/365))/Hipótesis!$B$9-1</f>
        <v>-0.19026365177299343</v>
      </c>
      <c r="D22" s="39">
        <f>((SUMPRODUCT(DCF!$D$21:$M$21,(1+$A22)^(-DCF!$D$22:$M$22))+DCF!$M$17*(1+D$19)/($A22-D$19)*(1+$A22)^(-DCF!$M$22)+Hipótesis!$B$29+Hipótesis!$B$30-Hipótesis!$B$31)/Hipótesis!$B$10*(1+$A22)^(Hipótesis!$B$12/365))/Hipótesis!$B$9-1</f>
        <v>-0.15138288500651642</v>
      </c>
      <c r="E22" s="39">
        <f>((SUMPRODUCT(DCF!$D$21:$M$21,(1+$A22)^(-DCF!$D$22:$M$22))+DCF!$M$17*(1+E$19)/($A22-E$19)*(1+$A22)^(-DCF!$M$22)+Hipótesis!$B$29+Hipótesis!$B$30-Hipótesis!$B$31)/Hipótesis!$B$10*(1+$A22)^(Hipótesis!$B$12/365))/Hipótesis!$B$9-1</f>
        <v>-0.10539411700302337</v>
      </c>
      <c r="F22" s="39">
        <f>((SUMPRODUCT(DCF!$D$21:$M$21,(1+$A22)^(-DCF!$D$22:$M$22))+DCF!$M$17*(1+F$19)/($A22-F$19)*(1+$A22)^(-DCF!$M$22)+Hipótesis!$B$29+Hipótesis!$B$30-Hipótesis!$B$31)/Hipótesis!$B$10*(1+$A22)^(Hipótesis!$B$12/365))/Hipótesis!$B$9-1</f>
        <v>-5.0152075759390735E-2</v>
      </c>
    </row>
    <row r="23" spans="1:6" x14ac:dyDescent="0.25">
      <c r="A23" s="50">
        <f>Hipótesis!$B$22+(3-3)*$B$4</f>
        <v>8.9700000000000002E-2</v>
      </c>
      <c r="B23" s="39">
        <f>((SUMPRODUCT(DCF!$D$21:$M$21,(1+$A23)^(-DCF!$D$22:$M$22))+DCF!$M$17*(1+B$19)/($A23-B$19)*(1+$A23)^(-DCF!$M$22)+Hipótesis!$B$29+Hipótesis!$B$30-Hipótesis!$B$31)/Hipótesis!$B$10*(1+$A23)^(Hipótesis!$B$12/365))/Hipótesis!$B$9-1</f>
        <v>-0.27159986063401031</v>
      </c>
      <c r="C23" s="39">
        <f>((SUMPRODUCT(DCF!$D$21:$M$21,(1+$A23)^(-DCF!$D$22:$M$22))+DCF!$M$17*(1+C$19)/($A23-C$19)*(1+$A23)^(-DCF!$M$22)+Hipótesis!$B$29+Hipótesis!$B$30-Hipótesis!$B$31)/Hipótesis!$B$10*(1+$A23)^(Hipótesis!$B$12/365))/Hipótesis!$B$9-1</f>
        <v>-0.24377367559788354</v>
      </c>
      <c r="D23" s="39">
        <f>((SUMPRODUCT(DCF!$D$21:$M$21,(1+$A23)^(-DCF!$D$22:$M$22))+DCF!$M$17*(1+D$19)/($A23-D$19)*(1+$A23)^(-DCF!$M$22)+Hipótesis!$B$29+Hipótesis!$B$30-Hipótesis!$B$31)/Hipótesis!$B$10*(1+$A23)^(Hipótesis!$B$12/365))/Hipótesis!$B$9-1</f>
        <v>-0.21164668916513751</v>
      </c>
      <c r="E23" s="39">
        <f>((SUMPRODUCT(DCF!$D$21:$M$21,(1+$A23)^(-DCF!$D$22:$M$22))+DCF!$M$17*(1+E$19)/($A23-E$19)*(1+$A23)^(-DCF!$M$22)+Hipótesis!$B$29+Hipótesis!$B$30-Hipótesis!$B$31)/Hipótesis!$B$10*(1+$A23)^(Hipótesis!$B$12/365))/Hipótesis!$B$9-1</f>
        <v>-0.17413829796978708</v>
      </c>
      <c r="F23" s="39">
        <f>((SUMPRODUCT(DCF!$D$21:$M$21,(1+$A23)^(-DCF!$D$22:$M$22))+DCF!$M$17*(1+F$19)/($A23-F$19)*(1+$A23)^(-DCF!$M$22)+Hipótesis!$B$29+Hipótesis!$B$30-Hipótesis!$B$31)/Hipótesis!$B$10*(1+$A23)^(Hipótesis!$B$12/365))/Hipótesis!$B$9-1</f>
        <v>-0.12977279686669474</v>
      </c>
    </row>
    <row r="24" spans="1:6" x14ac:dyDescent="0.25">
      <c r="A24" s="50">
        <f>Hipótesis!$B$22+(4-3)*$B$4</f>
        <v>9.4700000000000006E-2</v>
      </c>
      <c r="B24" s="39">
        <f>((SUMPRODUCT(DCF!$D$21:$M$21,(1+$A24)^(-DCF!$D$22:$M$22))+DCF!$M$17*(1+B$19)/($A24-B$19)*(1+$A24)^(-DCF!$M$22)+Hipótesis!$B$29+Hipótesis!$B$30-Hipótesis!$B$31)/Hipótesis!$B$10*(1+$A24)^(Hipótesis!$B$12/365))/Hipótesis!$B$9-1</f>
        <v>-0.31356110126082393</v>
      </c>
      <c r="C24" s="39">
        <f>((SUMPRODUCT(DCF!$D$21:$M$21,(1+$A24)^(-DCF!$D$22:$M$22))+DCF!$M$17*(1+C$19)/($A24-C$19)*(1+$A24)^(-DCF!$M$22)+Hipótesis!$B$29+Hipótesis!$B$30-Hipótesis!$B$31)/Hipótesis!$B$10*(1+$A24)^(Hipótesis!$B$12/365))/Hipótesis!$B$9-1</f>
        <v>-0.29008136652041505</v>
      </c>
      <c r="D24" s="39">
        <f>((SUMPRODUCT(DCF!$D$21:$M$21,(1+$A24)^(-DCF!$D$22:$M$22))+DCF!$M$17*(1+D$19)/($A24-D$19)*(1+$A24)^(-DCF!$M$22)+Hipótesis!$B$29+Hipótesis!$B$30-Hipótesis!$B$31)/Hipótesis!$B$10*(1+$A24)^(Hipótesis!$B$12/365))/Hipótesis!$B$9-1</f>
        <v>-0.26323294673834075</v>
      </c>
      <c r="E24" s="39">
        <f>((SUMPRODUCT(DCF!$D$21:$M$21,(1+$A24)^(-DCF!$D$22:$M$22))+DCF!$M$17*(1+E$19)/($A24-E$19)*(1+$A24)^(-DCF!$M$22)+Hipótesis!$B$29+Hipótesis!$B$30-Hipótesis!$B$31)/Hipótesis!$B$10*(1+$A24)^(Hipótesis!$B$12/365))/Hipótesis!$B$9-1</f>
        <v>-0.23223484847372</v>
      </c>
      <c r="F24" s="39">
        <f>((SUMPRODUCT(DCF!$D$21:$M$21,(1+$A24)^(-DCF!$D$22:$M$22))+DCF!$M$17*(1+F$19)/($A24-F$19)*(1+$A24)^(-DCF!$M$22)+Hipótesis!$B$29+Hipótesis!$B$30-Hipótesis!$B$31)/Hipótesis!$B$10*(1+$A24)^(Hipótesis!$B$12/365))/Hipótesis!$B$9-1</f>
        <v>-0.19604443894199364</v>
      </c>
    </row>
    <row r="25" spans="1:6" x14ac:dyDescent="0.25">
      <c r="A25" s="50">
        <f>Hipótesis!$B$22+(5-3)*$B$4</f>
        <v>9.9699999999999997E-2</v>
      </c>
      <c r="B25" s="39">
        <f>((SUMPRODUCT(DCF!$D$21:$M$21,(1+$A25)^(-DCF!$D$22:$M$22))+DCF!$M$17*(1+B$19)/($A25-B$19)*(1+$A25)^(-DCF!$M$22)+Hipótesis!$B$29+Hipótesis!$B$30-Hipótesis!$B$31)/Hipótesis!$B$10*(1+$A25)^(Hipótesis!$B$12/365))/Hipótesis!$B$9-1</f>
        <v>-0.35052651753161579</v>
      </c>
      <c r="C25" s="39">
        <f>((SUMPRODUCT(DCF!$D$21:$M$21,(1+$A25)^(-DCF!$D$22:$M$22))+DCF!$M$17*(1+C$19)/($A25-C$19)*(1+$A25)^(-DCF!$M$22)+Hipótesis!$B$29+Hipótesis!$B$30-Hipótesis!$B$31)/Hipótesis!$B$10*(1+$A25)^(Hipótesis!$B$12/365))/Hipótesis!$B$9-1</f>
        <v>-0.33054326244096954</v>
      </c>
      <c r="D25" s="39">
        <f>((SUMPRODUCT(DCF!$D$21:$M$21,(1+$A25)^(-DCF!$D$22:$M$22))+DCF!$M$17*(1+D$19)/($A25-D$19)*(1+$A25)^(-DCF!$M$22)+Hipótesis!$B$29+Hipótesis!$B$30-Hipótesis!$B$31)/Hipótesis!$B$10*(1+$A25)^(Hipótesis!$B$12/365))/Hipótesis!$B$9-1</f>
        <v>-0.30788487280003596</v>
      </c>
      <c r="E25" s="39">
        <f>((SUMPRODUCT(DCF!$D$21:$M$21,(1+$A25)^(-DCF!$D$22:$M$22))+DCF!$M$17*(1+E$19)/($A25-E$19)*(1+$A25)^(-DCF!$M$22)+Hipótesis!$B$29+Hipótesis!$B$30-Hipótesis!$B$31)/Hipótesis!$B$10*(1+$A25)^(Hipótesis!$B$12/365))/Hipótesis!$B$9-1</f>
        <v>-0.28197563816040294</v>
      </c>
      <c r="F25" s="39">
        <f>((SUMPRODUCT(DCF!$D$21:$M$21,(1+$A25)^(-DCF!$D$22:$M$22))+DCF!$M$17*(1+F$19)/($A25-F$19)*(1+$A25)^(-DCF!$M$22)+Hipótesis!$B$29+Hipótesis!$B$30-Hipótesis!$B$31)/Hipótesis!$B$10*(1+$A25)^(Hipótesis!$B$12/365))/Hipótesis!$B$9-1</f>
        <v>-0.25206188502932769</v>
      </c>
    </row>
    <row r="26" spans="1:6" x14ac:dyDescent="0.25">
      <c r="A26" s="50">
        <f>Hipótesis!$B$22+(6-3)*$B$4</f>
        <v>0.1047</v>
      </c>
      <c r="B26" s="39">
        <f>((SUMPRODUCT(DCF!$D$21:$M$21,(1+$A26)^(-DCF!$D$22:$M$22))+DCF!$M$17*(1+B$19)/($A26-B$19)*(1+$A26)^(-DCF!$M$22)+Hipótesis!$B$29+Hipótesis!$B$30-Hipótesis!$B$31)/Hipótesis!$B$10*(1+$A26)^(Hipótesis!$B$12/365))/Hipótesis!$B$9-1</f>
        <v>-0.38333268079624638</v>
      </c>
      <c r="C26" s="39">
        <f>((SUMPRODUCT(DCF!$D$21:$M$21,(1+$A26)^(-DCF!$D$22:$M$22))+DCF!$M$17*(1+C$19)/($A26-C$19)*(1+$A26)^(-DCF!$M$22)+Hipótesis!$B$29+Hipótesis!$B$30-Hipótesis!$B$31)/Hipótesis!$B$10*(1+$A26)^(Hipótesis!$B$12/365))/Hipótesis!$B$9-1</f>
        <v>-0.36619554979105695</v>
      </c>
      <c r="D26" s="39">
        <f>((SUMPRODUCT(DCF!$D$21:$M$21,(1+$A26)^(-DCF!$D$22:$M$22))+DCF!$M$17*(1+D$19)/($A26-D$19)*(1+$A26)^(-DCF!$M$22)+Hipótesis!$B$29+Hipótesis!$B$30-Hipótesis!$B$31)/Hipótesis!$B$10*(1+$A26)^(Hipótesis!$B$12/365))/Hipótesis!$B$9-1</f>
        <v>-0.34690821414280748</v>
      </c>
      <c r="E26" s="39">
        <f>((SUMPRODUCT(DCF!$D$21:$M$21,(1+$A26)^(-DCF!$D$22:$M$22))+DCF!$M$17*(1+E$19)/($A26-E$19)*(1+$A26)^(-DCF!$M$22)+Hipótesis!$B$29+Hipótesis!$B$30-Hipótesis!$B$31)/Hipótesis!$B$10*(1+$A26)^(Hipótesis!$B$12/365))/Hipótesis!$B$9-1</f>
        <v>-0.32503890585088335</v>
      </c>
      <c r="F26" s="39">
        <f>((SUMPRODUCT(DCF!$D$21:$M$21,(1+$A26)^(-DCF!$D$22:$M$22))+DCF!$M$17*(1+F$19)/($A26-F$19)*(1+$A26)^(-DCF!$M$22)+Hipótesis!$B$29+Hipótesis!$B$30-Hipótesis!$B$31)/Hipótesis!$B$10*(1+$A26)^(Hipótesis!$B$12/365))/Hipótesis!$B$9-1</f>
        <v>-0.30003196365767892</v>
      </c>
    </row>
    <row r="29" spans="1:6" x14ac:dyDescent="0.25">
      <c r="A29" s="2" t="s">
        <v>215</v>
      </c>
    </row>
    <row r="30" spans="1:6" x14ac:dyDescent="0.25">
      <c r="A30" s="5" t="s">
        <v>216</v>
      </c>
      <c r="B30" s="51">
        <f>ROUND(D12-DCF!C40,6)</f>
        <v>0</v>
      </c>
    </row>
  </sheetData>
  <conditionalFormatting sqref="B20:F26">
    <cfRule type="cellIs" dxfId="1" priority="3" operator="greaterThanOrEqual">
      <formula>0</formula>
    </cfRule>
    <cfRule type="cellIs" dxfId="0" priority="4" operator="lessThan">
      <formula>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id="{00000000-000E-0000-0400-000001000000}">
            <xm:f>Hipótesis!$B$9</xm:f>
            <x14:dxf>
              <fill>
                <patternFill patternType="solid">
                  <bgColor rgb="FFC6EFCE"/>
                </patternFill>
              </fill>
            </x14:dxf>
          </x14:cfRule>
          <x14:cfRule type="cellIs" priority="2" operator="lessThan" id="{00000000-000E-0000-0400-000002000000}">
            <xm:f>Hipótesis!$B$9</xm:f>
            <x14:dxf>
              <fill>
                <patternFill patternType="solid">
                  <bgColor rgb="FFFFC7CE"/>
                </patternFill>
              </fill>
            </x14:dxf>
          </x14:cfRule>
          <xm:sqref>B9:F15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workbookViewId="0"/>
  </sheetViews>
  <sheetFormatPr baseColWidth="10" defaultColWidth="9.140625" defaultRowHeight="15" x14ac:dyDescent="0.25"/>
  <cols>
    <col min="1" max="1" width="54" customWidth="1"/>
    <col min="2" max="4" width="16" customWidth="1"/>
    <col min="5" max="7" width="24" customWidth="1"/>
    <col min="8" max="8" width="16" customWidth="1"/>
  </cols>
  <sheetData>
    <row r="1" spans="1:8" ht="18" x14ac:dyDescent="0.25">
      <c r="A1" s="1" t="s">
        <v>217</v>
      </c>
    </row>
    <row r="2" spans="1:8" x14ac:dyDescent="0.25">
      <c r="A2" s="2" t="s">
        <v>218</v>
      </c>
    </row>
    <row r="4" spans="1:8" x14ac:dyDescent="0.25">
      <c r="A4" s="3" t="s">
        <v>219</v>
      </c>
      <c r="B4" s="4"/>
      <c r="C4" s="4"/>
      <c r="D4" s="4"/>
      <c r="E4" s="4"/>
      <c r="F4" s="4"/>
      <c r="G4" s="4"/>
      <c r="H4" s="4"/>
    </row>
    <row r="5" spans="1:8" x14ac:dyDescent="0.25">
      <c r="A5" s="14" t="s">
        <v>220</v>
      </c>
      <c r="B5" s="15" t="s">
        <v>221</v>
      </c>
      <c r="C5" s="15" t="s">
        <v>222</v>
      </c>
      <c r="D5" s="15" t="s">
        <v>223</v>
      </c>
      <c r="E5" s="15" t="s">
        <v>224</v>
      </c>
      <c r="F5" s="15" t="s">
        <v>225</v>
      </c>
      <c r="G5" s="15" t="s">
        <v>226</v>
      </c>
      <c r="H5" s="15" t="s">
        <v>227</v>
      </c>
    </row>
    <row r="6" spans="1:8" x14ac:dyDescent="0.25">
      <c r="A6" s="9" t="s">
        <v>228</v>
      </c>
      <c r="B6" s="52">
        <v>25.8</v>
      </c>
      <c r="C6" s="52">
        <v>24.63</v>
      </c>
      <c r="D6" s="52">
        <v>13.51</v>
      </c>
      <c r="E6" s="53">
        <v>18.920000000000002</v>
      </c>
      <c r="F6" s="53">
        <v>36.82</v>
      </c>
      <c r="G6" s="53">
        <v>9.1</v>
      </c>
      <c r="H6" s="22">
        <v>0.96</v>
      </c>
    </row>
    <row r="7" spans="1:8" x14ac:dyDescent="0.25">
      <c r="A7" s="5" t="s">
        <v>229</v>
      </c>
      <c r="B7" s="52">
        <v>21.64</v>
      </c>
      <c r="C7" s="52">
        <v>20.329999999999998</v>
      </c>
      <c r="D7" s="52">
        <v>7.72</v>
      </c>
      <c r="E7" s="53">
        <v>10.74</v>
      </c>
      <c r="F7" s="53">
        <v>33.25</v>
      </c>
      <c r="G7" s="53">
        <v>0.3</v>
      </c>
      <c r="H7" s="22">
        <v>1.05</v>
      </c>
    </row>
    <row r="8" spans="1:8" x14ac:dyDescent="0.25">
      <c r="A8" s="5" t="s">
        <v>230</v>
      </c>
      <c r="B8" s="52">
        <v>43.44</v>
      </c>
      <c r="C8" s="52">
        <v>35.97</v>
      </c>
      <c r="D8" s="52">
        <v>20.18</v>
      </c>
      <c r="E8" s="53">
        <v>21</v>
      </c>
      <c r="F8" s="53">
        <v>22.48</v>
      </c>
      <c r="G8" s="53">
        <v>22.2</v>
      </c>
      <c r="H8" s="22">
        <v>0.5</v>
      </c>
    </row>
    <row r="9" spans="1:8" x14ac:dyDescent="0.25">
      <c r="A9" s="5" t="s">
        <v>231</v>
      </c>
      <c r="B9" s="52">
        <v>18.350000000000001</v>
      </c>
      <c r="C9" s="52">
        <v>16.61</v>
      </c>
      <c r="D9" s="52">
        <v>10.91</v>
      </c>
      <c r="E9" s="53">
        <v>17.7</v>
      </c>
      <c r="F9" s="53">
        <v>54.54</v>
      </c>
      <c r="G9" s="53">
        <v>9.6</v>
      </c>
      <c r="H9" s="22">
        <v>1.07</v>
      </c>
    </row>
    <row r="10" spans="1:8" x14ac:dyDescent="0.25">
      <c r="A10" s="9" t="s">
        <v>232</v>
      </c>
      <c r="B10" s="54">
        <f t="shared" ref="B10:H10" si="0">MEDIAN(B7:B9)</f>
        <v>21.64</v>
      </c>
      <c r="C10" s="54">
        <f t="shared" si="0"/>
        <v>20.329999999999998</v>
      </c>
      <c r="D10" s="54">
        <f t="shared" si="0"/>
        <v>10.91</v>
      </c>
      <c r="E10" s="55">
        <f t="shared" si="0"/>
        <v>17.7</v>
      </c>
      <c r="F10" s="55">
        <f t="shared" si="0"/>
        <v>33.25</v>
      </c>
      <c r="G10" s="55">
        <f t="shared" si="0"/>
        <v>9.6</v>
      </c>
      <c r="H10" s="55">
        <f t="shared" si="0"/>
        <v>1.05</v>
      </c>
    </row>
    <row r="11" spans="1:8" x14ac:dyDescent="0.25">
      <c r="A11" s="9" t="s">
        <v>233</v>
      </c>
      <c r="B11" s="54">
        <f t="shared" ref="B11:H11" si="1">AVERAGE(B7:B9)</f>
        <v>27.810000000000002</v>
      </c>
      <c r="C11" s="54">
        <f t="shared" si="1"/>
        <v>24.303333333333331</v>
      </c>
      <c r="D11" s="54">
        <f t="shared" si="1"/>
        <v>12.936666666666667</v>
      </c>
      <c r="E11" s="55">
        <f t="shared" si="1"/>
        <v>16.48</v>
      </c>
      <c r="F11" s="55">
        <f t="shared" si="1"/>
        <v>36.756666666666668</v>
      </c>
      <c r="G11" s="55">
        <f t="shared" si="1"/>
        <v>10.700000000000001</v>
      </c>
      <c r="H11" s="55">
        <f t="shared" si="1"/>
        <v>0.87333333333333341</v>
      </c>
    </row>
    <row r="12" spans="1:8" x14ac:dyDescent="0.25">
      <c r="A12" s="5" t="s">
        <v>234</v>
      </c>
      <c r="B12" s="39">
        <f>B6/B10-1</f>
        <v>0.19223659889094269</v>
      </c>
      <c r="C12" s="39">
        <f>C6/C10-1</f>
        <v>0.21151008362026569</v>
      </c>
      <c r="D12" s="39">
        <f>D6/D10-1</f>
        <v>0.23831347387717683</v>
      </c>
    </row>
    <row r="14" spans="1:8" x14ac:dyDescent="0.25">
      <c r="A14" s="3" t="s">
        <v>235</v>
      </c>
      <c r="B14" s="4"/>
      <c r="C14" s="4"/>
      <c r="D14" s="4"/>
      <c r="E14" s="4"/>
      <c r="F14" s="4"/>
      <c r="G14" s="4"/>
      <c r="H14" s="4"/>
    </row>
    <row r="15" spans="1:8" x14ac:dyDescent="0.25">
      <c r="A15" s="5" t="s">
        <v>236</v>
      </c>
      <c r="B15" s="19">
        <v>11666</v>
      </c>
      <c r="D15" s="2" t="s">
        <v>237</v>
      </c>
    </row>
    <row r="16" spans="1:8" x14ac:dyDescent="0.25">
      <c r="A16" s="5" t="s">
        <v>238</v>
      </c>
      <c r="B16" s="25">
        <f>B20/C6</f>
        <v>2.2078765732846124</v>
      </c>
      <c r="D16" s="2" t="s">
        <v>239</v>
      </c>
    </row>
    <row r="17" spans="1:8" x14ac:dyDescent="0.25">
      <c r="A17" s="5" t="s">
        <v>240</v>
      </c>
      <c r="B17" s="42">
        <f>Hipótesis!B32</f>
        <v>6197</v>
      </c>
      <c r="D17" s="2" t="s">
        <v>241</v>
      </c>
    </row>
    <row r="18" spans="1:8" x14ac:dyDescent="0.25">
      <c r="A18" s="5" t="s">
        <v>242</v>
      </c>
      <c r="B18" s="42">
        <f>Hipótesis!B29</f>
        <v>10398</v>
      </c>
      <c r="D18" s="2" t="s">
        <v>243</v>
      </c>
    </row>
    <row r="19" spans="1:8" x14ac:dyDescent="0.25">
      <c r="A19" s="5" t="s">
        <v>199</v>
      </c>
      <c r="B19" s="45">
        <f>Hipótesis!B10</f>
        <v>3115.9215389999999</v>
      </c>
    </row>
    <row r="20" spans="1:8" x14ac:dyDescent="0.25">
      <c r="A20" s="5" t="s">
        <v>9</v>
      </c>
      <c r="B20" s="20">
        <f>Hipótesis!B9</f>
        <v>54.38</v>
      </c>
    </row>
    <row r="22" spans="1:8" x14ac:dyDescent="0.25">
      <c r="A22" s="3" t="s">
        <v>244</v>
      </c>
      <c r="B22" s="4"/>
      <c r="C22" s="4"/>
      <c r="D22" s="4"/>
      <c r="E22" s="4"/>
      <c r="F22" s="4"/>
      <c r="G22" s="4"/>
      <c r="H22" s="4"/>
    </row>
    <row r="23" spans="1:8" x14ac:dyDescent="0.25">
      <c r="B23" s="56" t="s">
        <v>245</v>
      </c>
      <c r="C23" s="56" t="s">
        <v>246</v>
      </c>
    </row>
    <row r="24" spans="1:8" x14ac:dyDescent="0.25">
      <c r="A24" s="5" t="str">
        <f>A7</f>
        <v>H&amp;M</v>
      </c>
      <c r="B24" s="46">
        <f>C7*$B$16</f>
        <v>44.886130734876168</v>
      </c>
      <c r="C24" s="46">
        <f>(D7*$B$15-$B$17+$B$18)/$B$19</f>
        <v>30.251891397192207</v>
      </c>
    </row>
    <row r="25" spans="1:8" x14ac:dyDescent="0.25">
      <c r="A25" s="5" t="str">
        <f>A8</f>
        <v>Fast Retailing</v>
      </c>
      <c r="B25" s="46">
        <f>C8*$B$16</f>
        <v>79.4173203410475</v>
      </c>
      <c r="C25" s="46">
        <f>(D8*$B$15-$B$17+$B$18)/$B$19</f>
        <v>76.902090441244582</v>
      </c>
    </row>
    <row r="26" spans="1:8" x14ac:dyDescent="0.25">
      <c r="A26" s="5" t="str">
        <f>A9</f>
        <v>Next</v>
      </c>
      <c r="B26" s="46">
        <f>C9*$B$16</f>
        <v>36.67282988225741</v>
      </c>
      <c r="C26" s="46">
        <f>(D9*$B$15-$B$17+$B$18)/$B$19</f>
        <v>42.195240911680735</v>
      </c>
    </row>
    <row r="27" spans="1:8" x14ac:dyDescent="0.25">
      <c r="A27" s="5" t="s">
        <v>247</v>
      </c>
      <c r="B27" s="46">
        <f>MIN(B24:B26)</f>
        <v>36.67282988225741</v>
      </c>
      <c r="C27" s="46">
        <f>MIN(C24:C26)</f>
        <v>30.251891397192207</v>
      </c>
    </row>
    <row r="28" spans="1:8" x14ac:dyDescent="0.25">
      <c r="A28" s="9" t="s">
        <v>248</v>
      </c>
      <c r="B28" s="57">
        <f>MEDIAN(B24:B26)</f>
        <v>44.886130734876168</v>
      </c>
      <c r="C28" s="57">
        <f>MEDIAN(C24:C26)</f>
        <v>42.195240911680735</v>
      </c>
    </row>
    <row r="29" spans="1:8" x14ac:dyDescent="0.25">
      <c r="A29" s="5" t="s">
        <v>249</v>
      </c>
      <c r="B29" s="46">
        <f>AVERAGE(B24:B26)</f>
        <v>53.6587603193937</v>
      </c>
      <c r="C29" s="46">
        <f>AVERAGE(C24:C26)</f>
        <v>49.783074250039171</v>
      </c>
    </row>
    <row r="30" spans="1:8" x14ac:dyDescent="0.25">
      <c r="A30" s="5" t="s">
        <v>250</v>
      </c>
      <c r="B30" s="46">
        <f>MAX(B24:B26)</f>
        <v>79.4173203410475</v>
      </c>
      <c r="C30" s="46">
        <f>MAX(C24:C26)</f>
        <v>76.902090441244582</v>
      </c>
    </row>
    <row r="31" spans="1:8" x14ac:dyDescent="0.25">
      <c r="A31" s="5" t="s">
        <v>251</v>
      </c>
      <c r="B31" s="46">
        <f>AVERAGE(B24,B26)</f>
        <v>40.779480308566789</v>
      </c>
      <c r="C31" s="46">
        <f>AVERAGE(C24,C26)</f>
        <v>36.223566154436469</v>
      </c>
    </row>
    <row r="32" spans="1:8" x14ac:dyDescent="0.25">
      <c r="A32" s="5" t="s">
        <v>252</v>
      </c>
      <c r="B32" s="46">
        <f>C6*$B$16</f>
        <v>54.38</v>
      </c>
      <c r="C32" s="46">
        <f>(D6*$B$15-$B$17+$B$18)/$B$19</f>
        <v>51.929632365495841</v>
      </c>
    </row>
    <row r="33" spans="1:8" x14ac:dyDescent="0.25">
      <c r="A33" s="5" t="s">
        <v>253</v>
      </c>
      <c r="B33" s="39">
        <f>B32/$B$20-1</f>
        <v>0</v>
      </c>
      <c r="C33" s="39">
        <f>C32/$B$20-1</f>
        <v>-4.5060088902246442E-2</v>
      </c>
      <c r="D33" s="2" t="s">
        <v>254</v>
      </c>
    </row>
    <row r="35" spans="1:8" x14ac:dyDescent="0.25">
      <c r="A35" s="3" t="s">
        <v>255</v>
      </c>
      <c r="B35" s="4"/>
      <c r="C35" s="4"/>
      <c r="D35" s="4"/>
      <c r="E35" s="4"/>
      <c r="F35" s="4"/>
      <c r="G35" s="4"/>
      <c r="H35" s="4"/>
    </row>
    <row r="36" spans="1:8" x14ac:dyDescent="0.25">
      <c r="A36" s="14" t="s">
        <v>256</v>
      </c>
      <c r="B36" s="15" t="s">
        <v>247</v>
      </c>
      <c r="C36" s="15" t="s">
        <v>250</v>
      </c>
      <c r="D36" s="15" t="s">
        <v>257</v>
      </c>
      <c r="E36" s="15" t="s">
        <v>258</v>
      </c>
    </row>
    <row r="37" spans="1:8" x14ac:dyDescent="0.25">
      <c r="A37" s="5" t="s">
        <v>259</v>
      </c>
      <c r="B37" s="20">
        <f>Resumen!C17</f>
        <v>32.726327759966303</v>
      </c>
      <c r="C37" s="20">
        <f>Resumen!C19</f>
        <v>51.747124937111963</v>
      </c>
      <c r="D37" s="46">
        <f>C37-B37</f>
        <v>19.02079717714566</v>
      </c>
      <c r="E37" s="20">
        <f>Resumen!C18</f>
        <v>42.870653043199837</v>
      </c>
    </row>
    <row r="38" spans="1:8" x14ac:dyDescent="0.25">
      <c r="A38" s="5" t="s">
        <v>260</v>
      </c>
      <c r="B38" s="46">
        <f>B27</f>
        <v>36.67282988225741</v>
      </c>
      <c r="C38" s="46">
        <f>B30</f>
        <v>79.4173203410475</v>
      </c>
      <c r="D38" s="46">
        <f>C38-B38</f>
        <v>42.744490458790089</v>
      </c>
      <c r="E38" s="46">
        <f>B28</f>
        <v>44.886130734876168</v>
      </c>
    </row>
    <row r="39" spans="1:8" x14ac:dyDescent="0.25">
      <c r="A39" s="5" t="s">
        <v>261</v>
      </c>
      <c r="B39" s="46">
        <f>C27</f>
        <v>30.251891397192207</v>
      </c>
      <c r="C39" s="46">
        <f>C30</f>
        <v>76.902090441244582</v>
      </c>
      <c r="D39" s="46">
        <f>C39-B39</f>
        <v>46.650199044052371</v>
      </c>
      <c r="E39" s="46">
        <f>C28</f>
        <v>42.195240911680735</v>
      </c>
    </row>
    <row r="40" spans="1:8" x14ac:dyDescent="0.25">
      <c r="A40" s="5" t="s">
        <v>262</v>
      </c>
      <c r="B40" s="17">
        <v>41.5</v>
      </c>
      <c r="C40" s="17">
        <v>65</v>
      </c>
      <c r="D40" s="46">
        <f>C40-B40</f>
        <v>23.5</v>
      </c>
      <c r="E40" s="17">
        <v>59.54</v>
      </c>
    </row>
    <row r="41" spans="1:8" x14ac:dyDescent="0.25">
      <c r="A41" s="5" t="s">
        <v>263</v>
      </c>
      <c r="B41" s="17">
        <v>46.07</v>
      </c>
      <c r="C41" s="17">
        <v>59.42</v>
      </c>
      <c r="D41" s="46">
        <f>C41-B41</f>
        <v>13.350000000000001</v>
      </c>
    </row>
    <row r="42" spans="1:8" x14ac:dyDescent="0.25">
      <c r="A42" s="9" t="s">
        <v>21</v>
      </c>
      <c r="B42" s="57">
        <f>B20</f>
        <v>54.38</v>
      </c>
      <c r="D42" s="2" t="s">
        <v>264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Hipótesis</vt:lpstr>
      <vt:lpstr>Histórico</vt:lpstr>
      <vt:lpstr>DCF</vt:lpstr>
      <vt:lpstr>Sensibilidad</vt:lpstr>
      <vt:lpstr>Comparables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2026-10-08T10:34:18Z</dcterms:created>
  <dcterms:modified xsi:type="dcterms:W3CDTF">2026-10-08T10:34:23Z</dcterms:modified>
</cp:coreProperties>
</file>